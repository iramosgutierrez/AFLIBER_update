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E:\UNI\4. DOCTORADO\99. OTROS\2021_10_07 AFLIBER 2.0\Nuevos listados (raw)\"/>
    </mc:Choice>
  </mc:AlternateContent>
  <xr:revisionPtr revIDLastSave="0" documentId="13_ncr:1_{2430C542-22BB-4403-9CDA-E2B956AA9F45}" xr6:coauthVersionLast="47" xr6:coauthVersionMax="47" xr10:uidLastSave="{00000000-0000-0000-0000-000000000000}"/>
  <bookViews>
    <workbookView xWindow="-108" yWindow="-108" windowWidth="23256" windowHeight="12576" activeTab="2" xr2:uid="{00000000-000D-0000-FFFF-FFFF00000000}"/>
  </bookViews>
  <sheets>
    <sheet name="Hoja2" sheetId="2" r:id="rId1"/>
    <sheet name="Hoja1" sheetId="1" r:id="rId2"/>
    <sheet name="Usa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2" i="3"/>
  <c r="M411" i="1"/>
  <c r="H411" i="1"/>
  <c r="M410" i="1"/>
  <c r="H410" i="1"/>
  <c r="M409" i="1"/>
  <c r="H409" i="1"/>
  <c r="M408" i="1"/>
  <c r="H408" i="1"/>
  <c r="M407" i="1"/>
  <c r="H407" i="1"/>
  <c r="M406" i="1"/>
  <c r="H406" i="1"/>
  <c r="M405" i="1"/>
  <c r="H405" i="1"/>
  <c r="M404" i="1"/>
  <c r="H404" i="1"/>
  <c r="M403" i="1"/>
  <c r="H403" i="1"/>
  <c r="M402" i="1"/>
  <c r="H402" i="1"/>
  <c r="M401" i="1"/>
  <c r="H401" i="1"/>
  <c r="M400" i="1"/>
  <c r="H400" i="1"/>
  <c r="M399" i="1"/>
  <c r="H399" i="1"/>
  <c r="M398" i="1"/>
  <c r="H398" i="1"/>
  <c r="M397" i="1"/>
  <c r="H397" i="1"/>
  <c r="M396" i="1"/>
  <c r="H396" i="1"/>
  <c r="M395" i="1"/>
  <c r="H395" i="1"/>
  <c r="M394" i="1"/>
  <c r="H394" i="1"/>
  <c r="M393" i="1"/>
  <c r="H393" i="1"/>
  <c r="M392" i="1"/>
  <c r="H392" i="1"/>
  <c r="M391" i="1"/>
  <c r="H391" i="1"/>
  <c r="M390" i="1"/>
  <c r="H390" i="1"/>
  <c r="M389" i="1"/>
  <c r="H389" i="1"/>
  <c r="M388" i="1"/>
  <c r="H388" i="1"/>
  <c r="M387" i="1"/>
  <c r="H387" i="1"/>
  <c r="M386" i="1"/>
  <c r="H386" i="1"/>
  <c r="M385" i="1"/>
  <c r="H385" i="1"/>
  <c r="M384" i="1"/>
  <c r="H384" i="1"/>
  <c r="M383" i="1"/>
  <c r="H383" i="1"/>
  <c r="M382" i="1"/>
  <c r="H382" i="1"/>
  <c r="M381" i="1"/>
  <c r="H381" i="1"/>
  <c r="M380" i="1"/>
  <c r="H380" i="1"/>
  <c r="M379" i="1"/>
  <c r="H379" i="1"/>
  <c r="M378" i="1"/>
  <c r="H378" i="1"/>
  <c r="M377" i="1"/>
  <c r="H377" i="1"/>
  <c r="M376" i="1"/>
  <c r="H376" i="1"/>
  <c r="M375" i="1"/>
  <c r="H375" i="1"/>
  <c r="M374" i="1"/>
  <c r="H374" i="1"/>
  <c r="M373" i="1"/>
  <c r="H373" i="1"/>
  <c r="M372" i="1"/>
  <c r="H372" i="1"/>
  <c r="M371" i="1"/>
  <c r="H371" i="1"/>
  <c r="M370" i="1"/>
  <c r="H370" i="1"/>
  <c r="M369" i="1"/>
  <c r="H369" i="1"/>
  <c r="M368" i="1"/>
  <c r="H368" i="1"/>
  <c r="M367" i="1"/>
  <c r="H367" i="1"/>
  <c r="M366" i="1"/>
  <c r="H366" i="1"/>
  <c r="M365" i="1"/>
  <c r="H365" i="1"/>
  <c r="M364" i="1"/>
  <c r="H364" i="1"/>
  <c r="M363" i="1"/>
  <c r="H363" i="1"/>
  <c r="M362" i="1"/>
  <c r="H362" i="1"/>
  <c r="M361" i="1"/>
  <c r="H361" i="1"/>
  <c r="M360" i="1"/>
  <c r="H360" i="1"/>
  <c r="M359" i="1"/>
  <c r="H359" i="1"/>
  <c r="M358" i="1"/>
  <c r="H358" i="1"/>
  <c r="M357" i="1"/>
  <c r="H357" i="1"/>
  <c r="M356" i="1"/>
  <c r="H356" i="1"/>
  <c r="M355" i="1"/>
  <c r="H355" i="1"/>
  <c r="M354" i="1"/>
  <c r="H354" i="1"/>
  <c r="M353" i="1"/>
  <c r="H353" i="1"/>
  <c r="M352" i="1"/>
  <c r="H352" i="1"/>
  <c r="M351" i="1"/>
  <c r="H351" i="1"/>
  <c r="M350" i="1"/>
  <c r="H350" i="1"/>
  <c r="M349" i="1"/>
  <c r="H349" i="1"/>
  <c r="M348" i="1"/>
  <c r="H348" i="1"/>
  <c r="M347" i="1"/>
  <c r="H347" i="1"/>
  <c r="M346" i="1"/>
  <c r="H346" i="1"/>
  <c r="M345" i="1"/>
  <c r="H345" i="1"/>
  <c r="M344" i="1"/>
  <c r="H344" i="1"/>
  <c r="M343" i="1"/>
  <c r="H343" i="1"/>
  <c r="M342" i="1"/>
  <c r="H342" i="1"/>
  <c r="M341" i="1"/>
  <c r="H341" i="1"/>
  <c r="M340" i="1"/>
  <c r="H340" i="1"/>
  <c r="M339" i="1"/>
  <c r="H339" i="1"/>
  <c r="M338" i="1"/>
  <c r="H338" i="1"/>
  <c r="M337" i="1"/>
  <c r="H337" i="1"/>
  <c r="M336" i="1"/>
  <c r="H336" i="1"/>
  <c r="M335" i="1"/>
  <c r="H335" i="1"/>
  <c r="M334" i="1"/>
  <c r="H334" i="1"/>
  <c r="M333" i="1"/>
  <c r="H333" i="1"/>
  <c r="M332" i="1"/>
  <c r="H332" i="1"/>
  <c r="M331" i="1"/>
  <c r="H331" i="1"/>
  <c r="M330" i="1"/>
  <c r="H330" i="1"/>
  <c r="M329" i="1"/>
  <c r="H329" i="1"/>
  <c r="M328" i="1"/>
  <c r="H328" i="1"/>
  <c r="M327" i="1"/>
  <c r="H327" i="1"/>
  <c r="M326" i="1"/>
  <c r="H326" i="1"/>
  <c r="M325" i="1"/>
  <c r="H325" i="1"/>
  <c r="M324" i="1"/>
  <c r="H324" i="1"/>
  <c r="M323" i="1"/>
  <c r="H323" i="1"/>
  <c r="M322" i="1"/>
  <c r="H322" i="1"/>
  <c r="M321" i="1"/>
  <c r="H321" i="1"/>
  <c r="M320" i="1"/>
  <c r="H320" i="1"/>
  <c r="M319" i="1"/>
  <c r="H319" i="1"/>
  <c r="M318" i="1"/>
  <c r="H318" i="1"/>
  <c r="M317" i="1"/>
  <c r="H317" i="1"/>
  <c r="M316" i="1"/>
  <c r="H316" i="1"/>
  <c r="M315" i="1"/>
  <c r="H315" i="1"/>
  <c r="M314" i="1"/>
  <c r="H314" i="1"/>
  <c r="M313" i="1"/>
  <c r="H313" i="1"/>
  <c r="M312" i="1"/>
  <c r="H312" i="1"/>
  <c r="M311" i="1"/>
  <c r="H311" i="1"/>
  <c r="M310" i="1"/>
  <c r="H310" i="1"/>
  <c r="M309" i="1"/>
  <c r="H309" i="1"/>
  <c r="M308" i="1"/>
  <c r="H308" i="1"/>
  <c r="M307" i="1"/>
  <c r="H307" i="1"/>
  <c r="M306" i="1"/>
  <c r="H306" i="1"/>
  <c r="M305" i="1"/>
  <c r="H305" i="1"/>
  <c r="M304" i="1"/>
  <c r="H304" i="1"/>
  <c r="M303" i="1"/>
  <c r="H303" i="1"/>
  <c r="M302" i="1"/>
  <c r="H302" i="1"/>
  <c r="M301" i="1"/>
  <c r="H301" i="1"/>
  <c r="M300" i="1"/>
  <c r="H300" i="1"/>
  <c r="M299" i="1"/>
  <c r="H299" i="1"/>
  <c r="M298" i="1"/>
  <c r="H298" i="1"/>
  <c r="M297" i="1"/>
  <c r="H297" i="1"/>
  <c r="M296" i="1"/>
  <c r="H296" i="1"/>
  <c r="M295" i="1"/>
  <c r="H295" i="1"/>
  <c r="M294" i="1"/>
  <c r="H294" i="1"/>
  <c r="M293" i="1"/>
  <c r="H293" i="1"/>
  <c r="M292" i="1"/>
  <c r="H292" i="1"/>
  <c r="M291" i="1"/>
  <c r="H291" i="1"/>
  <c r="M290" i="1"/>
  <c r="H290" i="1"/>
  <c r="M289" i="1"/>
  <c r="H289" i="1"/>
  <c r="M288" i="1"/>
  <c r="H288" i="1"/>
  <c r="M287" i="1"/>
  <c r="H287" i="1"/>
  <c r="M286" i="1"/>
  <c r="H286" i="1"/>
  <c r="M285" i="1"/>
  <c r="H285" i="1"/>
  <c r="M284" i="1"/>
  <c r="H284" i="1"/>
  <c r="M283" i="1"/>
  <c r="H283" i="1"/>
  <c r="M282" i="1"/>
  <c r="H282" i="1"/>
  <c r="M281" i="1"/>
  <c r="H281" i="1"/>
  <c r="M280" i="1"/>
  <c r="H280" i="1"/>
  <c r="M279" i="1"/>
  <c r="H279" i="1"/>
  <c r="M278" i="1"/>
  <c r="H278" i="1"/>
  <c r="M277" i="1"/>
  <c r="H277" i="1"/>
  <c r="M276" i="1"/>
  <c r="H276" i="1"/>
  <c r="M275" i="1"/>
  <c r="H275" i="1"/>
  <c r="M274" i="1"/>
  <c r="H274" i="1"/>
  <c r="M273" i="1"/>
  <c r="H273" i="1"/>
  <c r="M272" i="1"/>
  <c r="H272" i="1"/>
  <c r="M271" i="1"/>
  <c r="H271" i="1"/>
  <c r="M270" i="1"/>
  <c r="H270" i="1"/>
  <c r="M269" i="1"/>
  <c r="H269" i="1"/>
  <c r="M268" i="1"/>
  <c r="H268" i="1"/>
  <c r="M267" i="1"/>
  <c r="H267" i="1"/>
  <c r="M266" i="1"/>
  <c r="H266" i="1"/>
  <c r="M265" i="1"/>
  <c r="H265" i="1"/>
  <c r="M264" i="1"/>
  <c r="H264" i="1"/>
  <c r="M263" i="1"/>
  <c r="H263" i="1"/>
  <c r="M262" i="1"/>
  <c r="H262" i="1"/>
  <c r="M261" i="1"/>
  <c r="H261" i="1"/>
  <c r="M260" i="1"/>
  <c r="H260" i="1"/>
  <c r="M259" i="1"/>
  <c r="H259" i="1"/>
  <c r="M258" i="1"/>
  <c r="H258" i="1"/>
  <c r="M257" i="1"/>
  <c r="H257" i="1"/>
  <c r="M256" i="1"/>
  <c r="H256" i="1"/>
  <c r="M255" i="1"/>
  <c r="H255" i="1"/>
  <c r="M254" i="1"/>
  <c r="H254" i="1"/>
  <c r="M253" i="1"/>
  <c r="H253" i="1"/>
  <c r="M252" i="1"/>
  <c r="H252" i="1"/>
  <c r="M251" i="1"/>
  <c r="H251" i="1"/>
  <c r="M250" i="1"/>
  <c r="H250" i="1"/>
  <c r="M249" i="1"/>
  <c r="H249" i="1"/>
  <c r="M248" i="1"/>
  <c r="H248" i="1"/>
  <c r="M247" i="1"/>
  <c r="H247" i="1"/>
  <c r="M246" i="1"/>
  <c r="H246" i="1"/>
  <c r="M245" i="1"/>
  <c r="H245" i="1"/>
  <c r="M244" i="1"/>
  <c r="H244" i="1"/>
  <c r="M243" i="1"/>
  <c r="H243" i="1"/>
  <c r="M242" i="1"/>
  <c r="H242" i="1"/>
  <c r="M241" i="1"/>
  <c r="H241" i="1"/>
  <c r="M240" i="1"/>
  <c r="H240" i="1"/>
  <c r="M239" i="1"/>
  <c r="H239" i="1"/>
  <c r="M238" i="1"/>
  <c r="H238" i="1"/>
  <c r="M237" i="1"/>
  <c r="H237" i="1"/>
  <c r="M236" i="1"/>
  <c r="H236" i="1"/>
  <c r="M235" i="1"/>
  <c r="H235" i="1"/>
  <c r="M234" i="1"/>
  <c r="H234" i="1"/>
  <c r="M233" i="1"/>
  <c r="H233" i="1"/>
  <c r="M232" i="1"/>
  <c r="H232" i="1"/>
  <c r="M231" i="1"/>
  <c r="H231" i="1"/>
  <c r="M230" i="1"/>
  <c r="H230" i="1"/>
  <c r="M229" i="1"/>
  <c r="H229" i="1"/>
  <c r="M228" i="1"/>
  <c r="H228" i="1"/>
  <c r="M227" i="1"/>
  <c r="H227" i="1"/>
  <c r="M226" i="1"/>
  <c r="H226" i="1"/>
  <c r="M225" i="1"/>
  <c r="H225" i="1"/>
  <c r="M224" i="1"/>
  <c r="H224" i="1"/>
  <c r="M223" i="1"/>
  <c r="H223" i="1"/>
  <c r="M222" i="1"/>
  <c r="H222" i="1"/>
  <c r="M221" i="1"/>
  <c r="H221" i="1"/>
  <c r="M220" i="1"/>
  <c r="H220" i="1"/>
  <c r="M219" i="1"/>
  <c r="H219" i="1"/>
  <c r="M218" i="1"/>
  <c r="H218" i="1"/>
  <c r="M217" i="1"/>
  <c r="H217" i="1"/>
  <c r="M216" i="1"/>
  <c r="H216" i="1"/>
  <c r="M215" i="1"/>
  <c r="H215" i="1"/>
  <c r="M214" i="1"/>
  <c r="H214" i="1"/>
  <c r="M213" i="1"/>
  <c r="H213" i="1"/>
  <c r="M212" i="1"/>
  <c r="H212" i="1"/>
  <c r="M211" i="1"/>
  <c r="H211" i="1"/>
  <c r="M210" i="1"/>
  <c r="H210" i="1"/>
  <c r="M209" i="1"/>
  <c r="H209" i="1"/>
  <c r="M208" i="1"/>
  <c r="H208" i="1"/>
  <c r="M207" i="1"/>
  <c r="H207" i="1"/>
  <c r="M206" i="1"/>
  <c r="H206" i="1"/>
  <c r="M205" i="1"/>
  <c r="H205" i="1"/>
  <c r="M204" i="1"/>
  <c r="H204" i="1"/>
  <c r="M203" i="1"/>
  <c r="H203" i="1"/>
  <c r="M202" i="1"/>
  <c r="H202" i="1"/>
  <c r="M201" i="1"/>
  <c r="H201" i="1"/>
  <c r="M200" i="1"/>
  <c r="H200" i="1"/>
  <c r="M199" i="1"/>
  <c r="H199" i="1"/>
  <c r="M198" i="1"/>
  <c r="H198" i="1"/>
  <c r="M197" i="1"/>
  <c r="H197" i="1"/>
  <c r="M196" i="1"/>
  <c r="H196" i="1"/>
  <c r="M195" i="1"/>
  <c r="H195" i="1"/>
  <c r="M194" i="1"/>
  <c r="H194" i="1"/>
  <c r="M193" i="1"/>
  <c r="H193" i="1"/>
  <c r="M192" i="1"/>
  <c r="H192" i="1"/>
  <c r="M191" i="1"/>
  <c r="H191" i="1"/>
  <c r="M190" i="1"/>
  <c r="H190" i="1"/>
  <c r="M189" i="1"/>
  <c r="H189" i="1"/>
  <c r="M188" i="1"/>
  <c r="H188" i="1"/>
  <c r="M187" i="1"/>
  <c r="H187" i="1"/>
  <c r="M186" i="1"/>
  <c r="H186" i="1"/>
  <c r="M185" i="1"/>
  <c r="H185" i="1"/>
  <c r="M184" i="1"/>
  <c r="H184" i="1"/>
  <c r="M183" i="1"/>
  <c r="H183" i="1"/>
  <c r="M182" i="1"/>
  <c r="H182" i="1"/>
  <c r="M181" i="1"/>
  <c r="H181" i="1"/>
  <c r="M180" i="1"/>
  <c r="H180" i="1"/>
  <c r="M179" i="1"/>
  <c r="H179" i="1"/>
  <c r="M178" i="1"/>
  <c r="H178" i="1"/>
  <c r="M177" i="1"/>
  <c r="H177" i="1"/>
  <c r="M176" i="1"/>
  <c r="H176" i="1"/>
  <c r="M175" i="1"/>
  <c r="H175" i="1"/>
  <c r="M174" i="1"/>
  <c r="H174" i="1"/>
  <c r="M173" i="1"/>
  <c r="H173" i="1"/>
  <c r="M172" i="1"/>
  <c r="H172" i="1"/>
  <c r="M171" i="1"/>
  <c r="H171" i="1"/>
  <c r="M170" i="1"/>
  <c r="H170" i="1"/>
  <c r="M169" i="1"/>
  <c r="H169" i="1"/>
  <c r="M168" i="1"/>
  <c r="H168" i="1"/>
  <c r="M167" i="1"/>
  <c r="H167" i="1"/>
  <c r="M166" i="1"/>
  <c r="H166" i="1"/>
  <c r="M165" i="1"/>
  <c r="H165" i="1"/>
  <c r="M164" i="1"/>
  <c r="H164" i="1"/>
  <c r="M163" i="1"/>
  <c r="H163" i="1"/>
  <c r="M162" i="1"/>
  <c r="H162" i="1"/>
  <c r="M161" i="1"/>
  <c r="H161" i="1"/>
  <c r="M160" i="1"/>
  <c r="H160" i="1"/>
  <c r="M159" i="1"/>
  <c r="H159" i="1"/>
  <c r="M158" i="1"/>
  <c r="H158" i="1"/>
  <c r="M157" i="1"/>
  <c r="H157" i="1"/>
  <c r="M156" i="1"/>
  <c r="H156" i="1"/>
  <c r="M155" i="1"/>
  <c r="H155" i="1"/>
  <c r="M154" i="1"/>
  <c r="H154" i="1"/>
  <c r="M153" i="1"/>
  <c r="H153" i="1"/>
  <c r="M152" i="1"/>
  <c r="H152" i="1"/>
  <c r="M151" i="1"/>
  <c r="H151" i="1"/>
  <c r="M150" i="1"/>
  <c r="H150" i="1"/>
  <c r="M149" i="1"/>
  <c r="H149" i="1"/>
  <c r="M148" i="1"/>
  <c r="H148" i="1"/>
  <c r="M147" i="1"/>
  <c r="H147" i="1"/>
  <c r="M146" i="1"/>
  <c r="H146" i="1"/>
  <c r="M145" i="1"/>
  <c r="H145" i="1"/>
  <c r="M144" i="1"/>
  <c r="H144" i="1"/>
  <c r="M143" i="1"/>
  <c r="H143" i="1"/>
  <c r="M142" i="1"/>
  <c r="H142" i="1"/>
  <c r="M141" i="1"/>
  <c r="H141" i="1"/>
  <c r="M140" i="1"/>
  <c r="H140" i="1"/>
  <c r="M139" i="1"/>
  <c r="H139" i="1"/>
  <c r="M138" i="1"/>
  <c r="H138" i="1"/>
  <c r="M137" i="1"/>
  <c r="H137" i="1"/>
  <c r="M136" i="1"/>
  <c r="H136" i="1"/>
  <c r="M135" i="1"/>
  <c r="H135" i="1"/>
  <c r="M134" i="1"/>
  <c r="H134" i="1"/>
  <c r="M133" i="1"/>
  <c r="H133" i="1"/>
  <c r="M132" i="1"/>
  <c r="H132" i="1"/>
  <c r="M131" i="1"/>
  <c r="H131" i="1"/>
  <c r="M130" i="1"/>
  <c r="H130" i="1"/>
  <c r="M129" i="1"/>
  <c r="H129" i="1"/>
  <c r="M128" i="1"/>
  <c r="H128" i="1"/>
  <c r="M127" i="1"/>
  <c r="H127" i="1"/>
  <c r="M126" i="1"/>
  <c r="H126" i="1"/>
  <c r="M125" i="1"/>
  <c r="H125" i="1"/>
  <c r="M124" i="1"/>
  <c r="H124" i="1"/>
  <c r="M123" i="1"/>
  <c r="H123" i="1"/>
  <c r="M122" i="1"/>
  <c r="H122" i="1"/>
  <c r="M121" i="1"/>
  <c r="H121" i="1"/>
  <c r="M120" i="1"/>
  <c r="H120" i="1"/>
  <c r="M119" i="1"/>
  <c r="H119" i="1"/>
  <c r="M118" i="1"/>
  <c r="H118" i="1"/>
  <c r="M117" i="1"/>
  <c r="H117" i="1"/>
  <c r="M116" i="1"/>
  <c r="H116" i="1"/>
  <c r="M115" i="1"/>
  <c r="H115" i="1"/>
  <c r="M114" i="1"/>
  <c r="H114" i="1"/>
  <c r="M113" i="1"/>
  <c r="H113" i="1"/>
  <c r="M112" i="1"/>
  <c r="H112" i="1"/>
  <c r="M111" i="1"/>
  <c r="H111" i="1"/>
  <c r="M110" i="1"/>
  <c r="H110" i="1"/>
  <c r="M109" i="1"/>
  <c r="H109" i="1"/>
  <c r="M108" i="1"/>
  <c r="H108" i="1"/>
  <c r="M107" i="1"/>
  <c r="H107" i="1"/>
  <c r="M106" i="1"/>
  <c r="H106" i="1"/>
  <c r="M105" i="1"/>
  <c r="H105" i="1"/>
  <c r="M104" i="1"/>
  <c r="H104" i="1"/>
  <c r="M103" i="1"/>
  <c r="H103" i="1"/>
  <c r="M102" i="1"/>
  <c r="H102" i="1"/>
  <c r="M101" i="1"/>
  <c r="H101" i="1"/>
  <c r="M100" i="1"/>
  <c r="H100" i="1"/>
  <c r="M99" i="1"/>
  <c r="H99" i="1"/>
  <c r="M98" i="1"/>
  <c r="H98" i="1"/>
  <c r="M97" i="1"/>
  <c r="H97" i="1"/>
  <c r="M96" i="1"/>
  <c r="H96" i="1"/>
  <c r="M95" i="1"/>
  <c r="H95" i="1"/>
  <c r="M94" i="1"/>
  <c r="H94" i="1"/>
  <c r="M93" i="1"/>
  <c r="H93" i="1"/>
  <c r="M92" i="1"/>
  <c r="H92" i="1"/>
  <c r="M91" i="1"/>
  <c r="H91" i="1"/>
  <c r="M90" i="1"/>
  <c r="H90" i="1"/>
  <c r="M89" i="1"/>
  <c r="H89" i="1"/>
  <c r="M88" i="1"/>
  <c r="H88" i="1"/>
  <c r="M87" i="1"/>
  <c r="H87" i="1"/>
  <c r="M86" i="1"/>
  <c r="H86" i="1"/>
  <c r="M85" i="1"/>
  <c r="H85" i="1"/>
  <c r="M84" i="1"/>
  <c r="H84" i="1"/>
  <c r="M83" i="1"/>
  <c r="H83" i="1"/>
  <c r="M82" i="1"/>
  <c r="H82" i="1"/>
  <c r="M81" i="1"/>
  <c r="H81" i="1"/>
  <c r="M80" i="1"/>
  <c r="H80" i="1"/>
  <c r="M79" i="1"/>
  <c r="H79" i="1"/>
  <c r="M78" i="1"/>
  <c r="H78" i="1"/>
  <c r="M77" i="1"/>
  <c r="H77" i="1"/>
  <c r="M76" i="1"/>
  <c r="H76" i="1"/>
  <c r="M75" i="1"/>
  <c r="H75" i="1"/>
  <c r="M74" i="1"/>
  <c r="H74" i="1"/>
  <c r="M73" i="1"/>
  <c r="H73" i="1"/>
  <c r="M72" i="1"/>
  <c r="H72" i="1"/>
  <c r="M71" i="1"/>
  <c r="H71" i="1"/>
  <c r="M70" i="1"/>
  <c r="H70" i="1"/>
  <c r="M69" i="1"/>
  <c r="H69" i="1"/>
  <c r="M68" i="1"/>
  <c r="H68" i="1"/>
  <c r="M67" i="1"/>
  <c r="H67" i="1"/>
  <c r="M66" i="1"/>
  <c r="H66" i="1"/>
  <c r="M65" i="1"/>
  <c r="H65" i="1"/>
  <c r="M64" i="1"/>
  <c r="H64" i="1"/>
  <c r="M63" i="1"/>
  <c r="H63" i="1"/>
  <c r="M62" i="1"/>
  <c r="H62" i="1"/>
  <c r="M61" i="1"/>
  <c r="H61" i="1"/>
  <c r="M60" i="1"/>
  <c r="H60" i="1"/>
  <c r="M59" i="1"/>
  <c r="H59" i="1"/>
  <c r="M58" i="1"/>
  <c r="H58" i="1"/>
  <c r="M57" i="1"/>
  <c r="H57" i="1"/>
  <c r="M56" i="1"/>
  <c r="H56" i="1"/>
  <c r="M55" i="1"/>
  <c r="H55" i="1"/>
  <c r="M54" i="1"/>
  <c r="H54" i="1"/>
  <c r="M53" i="1"/>
  <c r="H53" i="1"/>
  <c r="M52" i="1"/>
  <c r="H52" i="1"/>
  <c r="M51" i="1"/>
  <c r="H51" i="1"/>
  <c r="M50" i="1"/>
  <c r="H50" i="1"/>
  <c r="M49" i="1"/>
  <c r="H49" i="1"/>
  <c r="M48" i="1"/>
  <c r="H48" i="1"/>
  <c r="M47" i="1"/>
  <c r="H47" i="1"/>
  <c r="M46" i="1"/>
  <c r="H46" i="1"/>
  <c r="M45" i="1"/>
  <c r="H45" i="1"/>
  <c r="M44" i="1"/>
  <c r="H44" i="1"/>
  <c r="M43" i="1"/>
  <c r="H43" i="1"/>
  <c r="M42" i="1"/>
  <c r="H42" i="1"/>
  <c r="M41" i="1"/>
  <c r="H41" i="1"/>
  <c r="M40" i="1"/>
  <c r="H40" i="1"/>
  <c r="M39" i="1"/>
  <c r="H39" i="1"/>
  <c r="M38" i="1"/>
  <c r="H38" i="1"/>
  <c r="M37" i="1"/>
  <c r="H37" i="1"/>
  <c r="M36" i="1"/>
  <c r="H36" i="1"/>
  <c r="M35" i="1"/>
  <c r="H35" i="1"/>
  <c r="M34" i="1"/>
  <c r="H34" i="1"/>
  <c r="M33" i="1"/>
  <c r="H33" i="1"/>
  <c r="M32" i="1"/>
  <c r="H32" i="1"/>
  <c r="M31" i="1"/>
  <c r="H31" i="1"/>
  <c r="M30" i="1"/>
  <c r="H30" i="1"/>
  <c r="M29" i="1"/>
  <c r="H29" i="1"/>
  <c r="M28" i="1"/>
  <c r="H28" i="1"/>
  <c r="M27" i="1"/>
  <c r="H27" i="1"/>
  <c r="M26" i="1"/>
  <c r="H26" i="1"/>
  <c r="M25" i="1"/>
  <c r="H25" i="1"/>
  <c r="M24" i="1"/>
  <c r="H24" i="1"/>
  <c r="M23" i="1"/>
  <c r="H23" i="1"/>
  <c r="M22" i="1"/>
  <c r="H22" i="1"/>
  <c r="M21" i="1"/>
  <c r="H21" i="1"/>
  <c r="M20" i="1"/>
  <c r="H20" i="1"/>
  <c r="M19" i="1"/>
  <c r="H19" i="1"/>
  <c r="M18" i="1"/>
  <c r="H18" i="1"/>
  <c r="M17" i="1"/>
  <c r="H17" i="1"/>
  <c r="M16" i="1"/>
  <c r="H16" i="1"/>
  <c r="M15" i="1"/>
  <c r="H15" i="1"/>
  <c r="M14" i="1"/>
  <c r="H14" i="1"/>
  <c r="M13" i="1"/>
  <c r="H13" i="1"/>
  <c r="M12" i="1"/>
  <c r="H12" i="1"/>
  <c r="M11" i="1"/>
  <c r="H11" i="1"/>
  <c r="M10" i="1"/>
  <c r="H10" i="1"/>
  <c r="M9" i="1"/>
  <c r="H9" i="1"/>
  <c r="M8" i="1"/>
  <c r="H8" i="1"/>
  <c r="M7" i="1"/>
  <c r="H7" i="1"/>
  <c r="M6" i="1"/>
  <c r="H6" i="1"/>
  <c r="M5" i="1"/>
  <c r="H5" i="1"/>
  <c r="M4" i="1"/>
  <c r="H4" i="1"/>
  <c r="M3" i="1"/>
  <c r="H3" i="1"/>
  <c r="M2"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L6" authorId="0" shapeId="0" xr:uid="{00000000-0006-0000-0100-000001000000}">
      <text>
        <r>
          <rPr>
            <b/>
            <sz val="9"/>
            <color indexed="81"/>
            <rFont val="Tahoma"/>
            <family val="2"/>
          </rPr>
          <t>La subsp. rhizomatifera tiene nervios mas prominentes, abundantes ceras y nunca mas de 3 lobulos.</t>
        </r>
      </text>
    </comment>
    <comment ref="L207" authorId="0" shapeId="0" xr:uid="{00000000-0006-0000-0100-000002000000}">
      <text>
        <r>
          <rPr>
            <b/>
            <sz val="9"/>
            <color indexed="81"/>
            <rFont val="Tahoma"/>
            <family val="2"/>
          </rPr>
          <t xml:space="preserve">En Atlas de la flora de Burgos como </t>
        </r>
      </text>
    </comment>
    <comment ref="L372" authorId="0" shapeId="0" xr:uid="{00000000-0006-0000-0100-000003000000}">
      <text>
        <r>
          <rPr>
            <b/>
            <sz val="9"/>
            <color indexed="81"/>
            <rFont val="Tahoma"/>
            <family val="2"/>
          </rPr>
          <t>Brote: ramas y nervios pelosos. Hojas más triangulares y agudas que las maduras.</t>
        </r>
      </text>
    </comment>
  </commentList>
</comments>
</file>

<file path=xl/sharedStrings.xml><?xml version="1.0" encoding="utf-8"?>
<sst xmlns="http://schemas.openxmlformats.org/spreadsheetml/2006/main" count="4546" uniqueCount="1633">
  <si>
    <t>Codigo</t>
  </si>
  <si>
    <t>MGRS</t>
  </si>
  <si>
    <t>Localidad</t>
  </si>
  <si>
    <t>Cód 2</t>
  </si>
  <si>
    <t>Fecha</t>
  </si>
  <si>
    <t>Fecha2</t>
  </si>
  <si>
    <t>TFG</t>
  </si>
  <si>
    <t>Familia</t>
  </si>
  <si>
    <t>Genero</t>
  </si>
  <si>
    <t>Especie</t>
  </si>
  <si>
    <t>Sinonimos</t>
  </si>
  <si>
    <t>Gen+Esp</t>
  </si>
  <si>
    <t>1'.6</t>
  </si>
  <si>
    <t>30TVN338557</t>
  </si>
  <si>
    <t>Torres de Abajo. 860 m.</t>
  </si>
  <si>
    <t>JG001</t>
  </si>
  <si>
    <t>19-4-2014</t>
  </si>
  <si>
    <t>Gramineae</t>
  </si>
  <si>
    <t>Anthoxanthum</t>
  </si>
  <si>
    <t>odoratum</t>
  </si>
  <si>
    <t>HP*4</t>
  </si>
  <si>
    <t>30TVN383582</t>
  </si>
  <si>
    <t>San Cibrián. Hayedo, 750 m.</t>
  </si>
  <si>
    <t>JG266</t>
  </si>
  <si>
    <t>9-6-2014</t>
  </si>
  <si>
    <t>Aceraceae</t>
  </si>
  <si>
    <t>Acer</t>
  </si>
  <si>
    <t>campestre</t>
  </si>
  <si>
    <t>3'.7</t>
  </si>
  <si>
    <t>30TVN369591</t>
  </si>
  <si>
    <t>Argomedo. Melojar, 900 m.</t>
  </si>
  <si>
    <t>JG009</t>
  </si>
  <si>
    <t>16-6-2014</t>
  </si>
  <si>
    <t>pseudoplatanus</t>
  </si>
  <si>
    <t>HC1.12</t>
  </si>
  <si>
    <t>30TVN324545</t>
  </si>
  <si>
    <t>Cilleruelo de Bezana. Hayedo de Carrales, 962 m.</t>
  </si>
  <si>
    <t>JG212</t>
  </si>
  <si>
    <t>22-5-2014</t>
  </si>
  <si>
    <t>Aquifoliaceae</t>
  </si>
  <si>
    <t>Ilex</t>
  </si>
  <si>
    <t>aquifolium</t>
  </si>
  <si>
    <t>HP1.11</t>
  </si>
  <si>
    <t>30TVN387579</t>
  </si>
  <si>
    <t>San Cibrián. Hayedo, 756 m.</t>
  </si>
  <si>
    <t>JG282</t>
  </si>
  <si>
    <t>2-6-2014</t>
  </si>
  <si>
    <t>Araliaceae</t>
  </si>
  <si>
    <t>Hedera</t>
  </si>
  <si>
    <t>helix subsp. helix</t>
  </si>
  <si>
    <t>HP2.1</t>
  </si>
  <si>
    <t>30TVN391579</t>
  </si>
  <si>
    <t>San Cibrián. Hayedo, 737 m.</t>
  </si>
  <si>
    <t>JG295</t>
  </si>
  <si>
    <t>EH1.12</t>
  </si>
  <si>
    <t>30TVN364557</t>
  </si>
  <si>
    <t>Torres de Abajo. Encinar, 855 m.</t>
  </si>
  <si>
    <t>JG039</t>
  </si>
  <si>
    <t>5-6-2014</t>
  </si>
  <si>
    <t>Asclepiadaceae</t>
  </si>
  <si>
    <t>Vincetoxicum</t>
  </si>
  <si>
    <t>hirundinaria</t>
  </si>
  <si>
    <t>EQC2.9</t>
  </si>
  <si>
    <t>30TVN408533</t>
  </si>
  <si>
    <t>Cubillos del Rojo. Encinar, 901 m.</t>
  </si>
  <si>
    <t>JG090</t>
  </si>
  <si>
    <t>15-6-2014</t>
  </si>
  <si>
    <t>EQH1.24</t>
  </si>
  <si>
    <t>30TVN373545</t>
  </si>
  <si>
    <t>Hoz de Arreba. Encinar, 829 m.</t>
  </si>
  <si>
    <t>JG115</t>
  </si>
  <si>
    <t>4-6-2014</t>
  </si>
  <si>
    <t>EQC1.2</t>
  </si>
  <si>
    <t>30TVN407532</t>
  </si>
  <si>
    <t>Cubillos del Rojo. Quejigar, 894 m.</t>
  </si>
  <si>
    <t>JG075</t>
  </si>
  <si>
    <t>nigrum</t>
  </si>
  <si>
    <t>HP1.5</t>
  </si>
  <si>
    <t>JG283</t>
  </si>
  <si>
    <t>Aspidiaceae</t>
  </si>
  <si>
    <t>Polystichum</t>
  </si>
  <si>
    <t>setiferum</t>
  </si>
  <si>
    <t>EH2.3</t>
  </si>
  <si>
    <t>30TVN350545</t>
  </si>
  <si>
    <t>Torres de Abajo. Encinar, 929 m.</t>
  </si>
  <si>
    <t>JG054</t>
  </si>
  <si>
    <t>8-6-2014</t>
  </si>
  <si>
    <t>Aspleniaceae</t>
  </si>
  <si>
    <t>Asplenium</t>
  </si>
  <si>
    <t>ruta-muraria subsp. ruta-muraria</t>
  </si>
  <si>
    <t>HC3.1</t>
  </si>
  <si>
    <t>30TVN339539</t>
  </si>
  <si>
    <t>Cilleruelo de Bezana. Hayedo de Carrales, 986 m.</t>
  </si>
  <si>
    <t>JG239</t>
  </si>
  <si>
    <t>14-6-2014</t>
  </si>
  <si>
    <t>Betulaceae</t>
  </si>
  <si>
    <t>Corylus</t>
  </si>
  <si>
    <t>avellana</t>
  </si>
  <si>
    <t>HC2.2</t>
  </si>
  <si>
    <t>30TVN315550</t>
  </si>
  <si>
    <t>Cilleruelo de Bezana. Hayedo de Carrales, 981 m.</t>
  </si>
  <si>
    <t>JG230</t>
  </si>
  <si>
    <t>Blechnaceae</t>
  </si>
  <si>
    <t>Blechnum</t>
  </si>
  <si>
    <t>spicant subsp. spicant</t>
  </si>
  <si>
    <t>EH1.10</t>
  </si>
  <si>
    <t>JG040</t>
  </si>
  <si>
    <t>Boraginaceae</t>
  </si>
  <si>
    <t>Glandora</t>
  </si>
  <si>
    <t>diffusa</t>
  </si>
  <si>
    <t>EH2.7</t>
  </si>
  <si>
    <t>JG055</t>
  </si>
  <si>
    <t>Lithodora diffusa</t>
  </si>
  <si>
    <t>HP*16</t>
  </si>
  <si>
    <t>JG267</t>
  </si>
  <si>
    <t>Myosotis</t>
  </si>
  <si>
    <t>arvensis subsp. arvensis</t>
  </si>
  <si>
    <t>RC*3</t>
  </si>
  <si>
    <t>30TVN303593</t>
  </si>
  <si>
    <t>Cilleruelo de Bezana. Carballeda, 819 m.</t>
  </si>
  <si>
    <t>JG391</t>
  </si>
  <si>
    <t>24-5-2014</t>
  </si>
  <si>
    <t>Pulmonaria</t>
  </si>
  <si>
    <t>longifolia</t>
  </si>
  <si>
    <t>HH2.1</t>
  </si>
  <si>
    <t>30TVN361561</t>
  </si>
  <si>
    <t>Torres de Abajo. Hayedo, 874 m.</t>
  </si>
  <si>
    <t>JG259</t>
  </si>
  <si>
    <t>Symphytum</t>
  </si>
  <si>
    <t>tuberosum subsp. tuberosum</t>
  </si>
  <si>
    <t>MC1.2</t>
  </si>
  <si>
    <t>30TVN355608</t>
  </si>
  <si>
    <t>Castrillo de Bezana. Melojar, 1007 m.</t>
  </si>
  <si>
    <t>JG299</t>
  </si>
  <si>
    <t>18-6-2014</t>
  </si>
  <si>
    <t>3'.4</t>
  </si>
  <si>
    <t>JG010</t>
  </si>
  <si>
    <t>Campanulaceae</t>
  </si>
  <si>
    <t>Campanula</t>
  </si>
  <si>
    <t>rapunculus</t>
  </si>
  <si>
    <t>2'.4</t>
  </si>
  <si>
    <t>30TVN353517</t>
  </si>
  <si>
    <t>Munilla. Bosque marcestente mixto de quejigo y melojo, 780 m.</t>
  </si>
  <si>
    <t>JG006</t>
  </si>
  <si>
    <t>6-6-2014</t>
  </si>
  <si>
    <t>Jasione</t>
  </si>
  <si>
    <t>montana</t>
  </si>
  <si>
    <t>EQH2.5</t>
  </si>
  <si>
    <t>30TVN371543</t>
  </si>
  <si>
    <t>Hoz de Arreba. Quejigar, 839 m.</t>
  </si>
  <si>
    <t>JG138</t>
  </si>
  <si>
    <t>Phyteuma</t>
  </si>
  <si>
    <t>orbiculare</t>
  </si>
  <si>
    <t>EQL1.6</t>
  </si>
  <si>
    <t>30TVN396513</t>
  </si>
  <si>
    <t>Lándraves. Quejigar, 676 m.</t>
  </si>
  <si>
    <t>JG190</t>
  </si>
  <si>
    <t>2'.5</t>
  </si>
  <si>
    <t>JG007</t>
  </si>
  <si>
    <t>Caprifoliaceae</t>
  </si>
  <si>
    <t>Lonicera</t>
  </si>
  <si>
    <t>etrusca</t>
  </si>
  <si>
    <t>HP2.2</t>
  </si>
  <si>
    <t>JG296</t>
  </si>
  <si>
    <t>xylosteum</t>
  </si>
  <si>
    <t>HP*5</t>
  </si>
  <si>
    <t>JG268</t>
  </si>
  <si>
    <t>Sambucus</t>
  </si>
  <si>
    <t>nigra subsp. nigra</t>
  </si>
  <si>
    <t>HP1.6</t>
  </si>
  <si>
    <t>JG284</t>
  </si>
  <si>
    <t>QM2.9</t>
  </si>
  <si>
    <t>30TVN365521</t>
  </si>
  <si>
    <t>Munilla. Quejigar, 944 m.</t>
  </si>
  <si>
    <t>JG368</t>
  </si>
  <si>
    <t>Viburnum</t>
  </si>
  <si>
    <t>lantana</t>
  </si>
  <si>
    <t>EH1.2</t>
  </si>
  <si>
    <t>JG041</t>
  </si>
  <si>
    <t>Caryophyllaceae</t>
  </si>
  <si>
    <t>Arenaria</t>
  </si>
  <si>
    <t>montana subsp. montana</t>
  </si>
  <si>
    <t>EH2.9</t>
  </si>
  <si>
    <t>JG056</t>
  </si>
  <si>
    <t>EQH1.16</t>
  </si>
  <si>
    <t>JG116</t>
  </si>
  <si>
    <t>MM1.6</t>
  </si>
  <si>
    <t>30TVN366512</t>
  </si>
  <si>
    <t>Munilla. Melojar, 764 m.</t>
  </si>
  <si>
    <t>JG310</t>
  </si>
  <si>
    <t>17-6-2014</t>
  </si>
  <si>
    <t>MV1.2</t>
  </si>
  <si>
    <t>30TVN325592</t>
  </si>
  <si>
    <t>Virtus. Melojar, 918 m.</t>
  </si>
  <si>
    <t>JG349</t>
  </si>
  <si>
    <t>3-6-2014</t>
  </si>
  <si>
    <t>RC*19</t>
  </si>
  <si>
    <t>JG392</t>
  </si>
  <si>
    <t>10-6-2014</t>
  </si>
  <si>
    <t>RC4.9</t>
  </si>
  <si>
    <t>30TVN315593</t>
  </si>
  <si>
    <t>Cilleruelo de Bezana. Carballeda, 910 m.</t>
  </si>
  <si>
    <t>JG417</t>
  </si>
  <si>
    <t>MM1.26</t>
  </si>
  <si>
    <t>JG311</t>
  </si>
  <si>
    <t>Cerastium</t>
  </si>
  <si>
    <t>glomeratum</t>
  </si>
  <si>
    <t>EQC2.5</t>
  </si>
  <si>
    <t>JG091</t>
  </si>
  <si>
    <t>Dianthus</t>
  </si>
  <si>
    <t>pungens subsp. brachyantus</t>
  </si>
  <si>
    <t>EQH1.14</t>
  </si>
  <si>
    <t>JG117</t>
  </si>
  <si>
    <t>25-5-2014</t>
  </si>
  <si>
    <t>HP1.12</t>
  </si>
  <si>
    <t>JG285</t>
  </si>
  <si>
    <t>Moehringia</t>
  </si>
  <si>
    <t>trinervia</t>
  </si>
  <si>
    <t>QM2.10</t>
  </si>
  <si>
    <t>JG369</t>
  </si>
  <si>
    <t>Silene</t>
  </si>
  <si>
    <t>nutans subsp. nutans</t>
  </si>
  <si>
    <t>HC*5</t>
  </si>
  <si>
    <t>30TVN287569</t>
  </si>
  <si>
    <t>Cilleruelo de Bezana. Hayedo de Carrales.</t>
  </si>
  <si>
    <t>JG199</t>
  </si>
  <si>
    <t>Stellaria</t>
  </si>
  <si>
    <t>holostea</t>
  </si>
  <si>
    <t>HC1.2</t>
  </si>
  <si>
    <t>JG213</t>
  </si>
  <si>
    <t>17-4-2014</t>
  </si>
  <si>
    <t>MC1.9</t>
  </si>
  <si>
    <t>JG300</t>
  </si>
  <si>
    <t>RC*11</t>
  </si>
  <si>
    <t>JG393</t>
  </si>
  <si>
    <t>RC2.4</t>
  </si>
  <si>
    <t>30TVN306592</t>
  </si>
  <si>
    <t>Cilleruelo de Bezana. Carballeda, 889 m.</t>
  </si>
  <si>
    <t>JG409</t>
  </si>
  <si>
    <t>23-5-2014</t>
  </si>
  <si>
    <t>EH1.4</t>
  </si>
  <si>
    <t>JG042</t>
  </si>
  <si>
    <t>Cistaceae</t>
  </si>
  <si>
    <t>Cistus</t>
  </si>
  <si>
    <t>salviifolius</t>
  </si>
  <si>
    <t>EQH1.20</t>
  </si>
  <si>
    <t>JG118</t>
  </si>
  <si>
    <t>Fumana</t>
  </si>
  <si>
    <t>procumbens</t>
  </si>
  <si>
    <t>3'.14</t>
  </si>
  <si>
    <t>JG011</t>
  </si>
  <si>
    <t>Helianthemum</t>
  </si>
  <si>
    <t>nummularium</t>
  </si>
  <si>
    <t>HC*7</t>
  </si>
  <si>
    <t>JG200</t>
  </si>
  <si>
    <t>EH2.12</t>
  </si>
  <si>
    <t>JG057</t>
  </si>
  <si>
    <t>oelandicum subsp. incanum</t>
  </si>
  <si>
    <t>H. canum</t>
  </si>
  <si>
    <t>EQH2.1</t>
  </si>
  <si>
    <t>JG139</t>
  </si>
  <si>
    <t>EQL1.2</t>
  </si>
  <si>
    <t>JG191</t>
  </si>
  <si>
    <t>EQC2.21</t>
  </si>
  <si>
    <t>JG092</t>
  </si>
  <si>
    <t>violaceum</t>
  </si>
  <si>
    <t>EQH3.7</t>
  </si>
  <si>
    <t>30TVN367537</t>
  </si>
  <si>
    <t>Hoz de Arreba. Quejigar, 732 m.</t>
  </si>
  <si>
    <t>JG151</t>
  </si>
  <si>
    <t>EQH1.18</t>
  </si>
  <si>
    <t>JG119</t>
  </si>
  <si>
    <t>Compositae</t>
  </si>
  <si>
    <t>Achillea</t>
  </si>
  <si>
    <t>millefolium</t>
  </si>
  <si>
    <t>EH2.18</t>
  </si>
  <si>
    <t>JG058</t>
  </si>
  <si>
    <t>Bellis</t>
  </si>
  <si>
    <t>perennis</t>
  </si>
  <si>
    <t>HC*3</t>
  </si>
  <si>
    <t>JG201</t>
  </si>
  <si>
    <t>QM2.1</t>
  </si>
  <si>
    <t>JG370</t>
  </si>
  <si>
    <t>sylvestris</t>
  </si>
  <si>
    <t>3'.8</t>
  </si>
  <si>
    <t>JG012</t>
  </si>
  <si>
    <t>Carduncellus</t>
  </si>
  <si>
    <t>mitissimus</t>
  </si>
  <si>
    <t>QM2.2</t>
  </si>
  <si>
    <t>JG371</t>
  </si>
  <si>
    <t>EQC1.1</t>
  </si>
  <si>
    <t>JG076</t>
  </si>
  <si>
    <t>Cirsium</t>
  </si>
  <si>
    <t>heterophyllum</t>
  </si>
  <si>
    <t>EQC2.27</t>
  </si>
  <si>
    <t>JG093</t>
  </si>
  <si>
    <t>Helichrysum</t>
  </si>
  <si>
    <t>stoechas subsp. stoechas</t>
  </si>
  <si>
    <t>EQH3.2</t>
  </si>
  <si>
    <t>JG152</t>
  </si>
  <si>
    <t>EQH4.20</t>
  </si>
  <si>
    <t>30TVN365530</t>
  </si>
  <si>
    <t>Hoz de Arreba. Encinar, 883 m.</t>
  </si>
  <si>
    <t>JG169</t>
  </si>
  <si>
    <t>HP*13</t>
  </si>
  <si>
    <t>JG269</t>
  </si>
  <si>
    <t>Hieracium</t>
  </si>
  <si>
    <t>prenanthoides</t>
  </si>
  <si>
    <t>EQH3.6</t>
  </si>
  <si>
    <t>JG153</t>
  </si>
  <si>
    <t>Klasea</t>
  </si>
  <si>
    <t>nudicaulis</t>
  </si>
  <si>
    <t>EH1.3</t>
  </si>
  <si>
    <t>JG043</t>
  </si>
  <si>
    <t>Lactuca</t>
  </si>
  <si>
    <t>EQC2.12</t>
  </si>
  <si>
    <t>JG094</t>
  </si>
  <si>
    <t>EQH4.5</t>
  </si>
  <si>
    <t>JG170</t>
  </si>
  <si>
    <t>EQC2.1</t>
  </si>
  <si>
    <t>JG095</t>
  </si>
  <si>
    <t>Leucanthemum</t>
  </si>
  <si>
    <t>vulgare subsp. eliasii</t>
  </si>
  <si>
    <t>EH1.6</t>
  </si>
  <si>
    <t>JG044</t>
  </si>
  <si>
    <t>Pilosella</t>
  </si>
  <si>
    <t>officinarum</t>
  </si>
  <si>
    <t>EQH1.23</t>
  </si>
  <si>
    <t>JG120</t>
  </si>
  <si>
    <t>EQH4.14</t>
  </si>
  <si>
    <t>JG171</t>
  </si>
  <si>
    <t>HC*2</t>
  </si>
  <si>
    <t>JG202</t>
  </si>
  <si>
    <t>EQH2.4</t>
  </si>
  <si>
    <t>JG140</t>
  </si>
  <si>
    <t>Xeranthemum</t>
  </si>
  <si>
    <t>inapertum</t>
  </si>
  <si>
    <t>EH1.5</t>
  </si>
  <si>
    <t>JG045</t>
  </si>
  <si>
    <t>Convolvulaceae</t>
  </si>
  <si>
    <t>Convolvulus</t>
  </si>
  <si>
    <t>cantabrica</t>
  </si>
  <si>
    <t>EQC2.3</t>
  </si>
  <si>
    <t>JG096</t>
  </si>
  <si>
    <t>MM2.4</t>
  </si>
  <si>
    <t>30TVN369513</t>
  </si>
  <si>
    <t>Munilla. Melojar, 805 m.</t>
  </si>
  <si>
    <t>JG335</t>
  </si>
  <si>
    <t>Crassulaceae</t>
  </si>
  <si>
    <t>Sedum</t>
  </si>
  <si>
    <t>forsterianum</t>
  </si>
  <si>
    <t>HP*7</t>
  </si>
  <si>
    <t>JG270</t>
  </si>
  <si>
    <t>Cruciferae</t>
  </si>
  <si>
    <t>Alliaria</t>
  </si>
  <si>
    <t>petiolata</t>
  </si>
  <si>
    <t>EQC2.13</t>
  </si>
  <si>
    <t>JG097</t>
  </si>
  <si>
    <t>Biscutella</t>
  </si>
  <si>
    <t>valentina subsp. pyrenaica</t>
  </si>
  <si>
    <t>B. pyrenaica</t>
  </si>
  <si>
    <t>QM2.6</t>
  </si>
  <si>
    <t>JG372</t>
  </si>
  <si>
    <t>Erucastrum</t>
  </si>
  <si>
    <t>nasturtiifolium subsp. nasturtiifolium</t>
  </si>
  <si>
    <t>EQC1.13</t>
  </si>
  <si>
    <t>JG077</t>
  </si>
  <si>
    <t>Cupressaceae</t>
  </si>
  <si>
    <t>Juniperus</t>
  </si>
  <si>
    <t>communis subsp. communis</t>
  </si>
  <si>
    <t>EQH1.12</t>
  </si>
  <si>
    <t>JG121</t>
  </si>
  <si>
    <t>oxycedrus</t>
  </si>
  <si>
    <t>EQL1.5</t>
  </si>
  <si>
    <t>JG192</t>
  </si>
  <si>
    <t>EQL1.9</t>
  </si>
  <si>
    <t>JG193</t>
  </si>
  <si>
    <t>phoenicea subps. phoenicea</t>
  </si>
  <si>
    <t>EQH2.9</t>
  </si>
  <si>
    <t>JG141</t>
  </si>
  <si>
    <t>Cyperaceae</t>
  </si>
  <si>
    <t>Carex</t>
  </si>
  <si>
    <t>flacca</t>
  </si>
  <si>
    <t>QM1.5</t>
  </si>
  <si>
    <t>30TVN356517</t>
  </si>
  <si>
    <t>Munilla. Quejigar, 905 m.</t>
  </si>
  <si>
    <t>JG354</t>
  </si>
  <si>
    <t>EH2.17</t>
  </si>
  <si>
    <t>JG059</t>
  </si>
  <si>
    <t>hallerana</t>
  </si>
  <si>
    <t>HM1.2</t>
  </si>
  <si>
    <t>30TVN332571</t>
  </si>
  <si>
    <t>Montoto. Hayedo, 905 m.</t>
  </si>
  <si>
    <t>JG261</t>
  </si>
  <si>
    <t>remota</t>
  </si>
  <si>
    <t>HM1.5</t>
  </si>
  <si>
    <t>JG262</t>
  </si>
  <si>
    <t>sylvatica subsp. sylvatica</t>
  </si>
  <si>
    <t>HP1.2</t>
  </si>
  <si>
    <t>JG286</t>
  </si>
  <si>
    <t>3'.3</t>
  </si>
  <si>
    <t>JG013</t>
  </si>
  <si>
    <t>Dioscoreaceae</t>
  </si>
  <si>
    <t>Tamus</t>
  </si>
  <si>
    <t>communis</t>
  </si>
  <si>
    <t>HP1.10</t>
  </si>
  <si>
    <t>JG287</t>
  </si>
  <si>
    <t>MM1.1</t>
  </si>
  <si>
    <t>JG312</t>
  </si>
  <si>
    <t>EQC2.8</t>
  </si>
  <si>
    <t>JG098</t>
  </si>
  <si>
    <t>Dipsacaceae</t>
  </si>
  <si>
    <t>Knautia</t>
  </si>
  <si>
    <t>nevadensis</t>
  </si>
  <si>
    <t>K. arvernensis</t>
  </si>
  <si>
    <t>MM1.9</t>
  </si>
  <si>
    <t>JG313</t>
  </si>
  <si>
    <t>Ericaceae</t>
  </si>
  <si>
    <t>Daboecia</t>
  </si>
  <si>
    <t>RC4.3</t>
  </si>
  <si>
    <t>JG419</t>
  </si>
  <si>
    <t>Erica</t>
  </si>
  <si>
    <t>arborea</t>
  </si>
  <si>
    <t>EH1.7</t>
  </si>
  <si>
    <t>JG046</t>
  </si>
  <si>
    <t>cinerea</t>
  </si>
  <si>
    <t>EH1*3</t>
  </si>
  <si>
    <t>JG047</t>
  </si>
  <si>
    <t>7-10-2014</t>
  </si>
  <si>
    <t>vagans</t>
  </si>
  <si>
    <t>HC1.18</t>
  </si>
  <si>
    <t>JG214</t>
  </si>
  <si>
    <t>Euphorbiaceae</t>
  </si>
  <si>
    <t>Euphorbia</t>
  </si>
  <si>
    <t>amygdaloides subsp. amygdaloides</t>
  </si>
  <si>
    <t>HP*18</t>
  </si>
  <si>
    <t>JG271</t>
  </si>
  <si>
    <t>EQL1.7</t>
  </si>
  <si>
    <t>JG194</t>
  </si>
  <si>
    <t>angulata</t>
  </si>
  <si>
    <t>EQH4.15</t>
  </si>
  <si>
    <t>JG172</t>
  </si>
  <si>
    <t>exigua subsp. exigua</t>
  </si>
  <si>
    <t>HC*13</t>
  </si>
  <si>
    <t>JG203</t>
  </si>
  <si>
    <t>hyberna subsp. hyberna</t>
  </si>
  <si>
    <t>HC1.19</t>
  </si>
  <si>
    <t>JG215</t>
  </si>
  <si>
    <t>HC3.5</t>
  </si>
  <si>
    <t>JG240</t>
  </si>
  <si>
    <t>HH1.5</t>
  </si>
  <si>
    <t>30TVN359563</t>
  </si>
  <si>
    <t>Torres de Abajo. Hayedo, 887 m.</t>
  </si>
  <si>
    <t>JG255</t>
  </si>
  <si>
    <t>HC*14</t>
  </si>
  <si>
    <t>JG204</t>
  </si>
  <si>
    <t>polygalifolia subsp. polygalifolia</t>
  </si>
  <si>
    <t>EQC2.7</t>
  </si>
  <si>
    <t>JG099</t>
  </si>
  <si>
    <t>segetalis</t>
  </si>
  <si>
    <t>HC1.15</t>
  </si>
  <si>
    <t>JG216</t>
  </si>
  <si>
    <t>villosa</t>
  </si>
  <si>
    <t>QM2.11</t>
  </si>
  <si>
    <t>JG373</t>
  </si>
  <si>
    <t>RC3.3</t>
  </si>
  <si>
    <t>30TVN308598</t>
  </si>
  <si>
    <t>Cilleruelo de Bezana. Carballeda, 927 m.</t>
  </si>
  <si>
    <t>JG415</t>
  </si>
  <si>
    <t>HC1.13</t>
  </si>
  <si>
    <t>JG217</t>
  </si>
  <si>
    <t>Fagaceae</t>
  </si>
  <si>
    <t>Fagus</t>
  </si>
  <si>
    <t>sylvatica</t>
  </si>
  <si>
    <t>EQH3.1</t>
  </si>
  <si>
    <t>JG154</t>
  </si>
  <si>
    <t>Quercus</t>
  </si>
  <si>
    <t>faginea subsp. faginea</t>
  </si>
  <si>
    <t>EQH1.2</t>
  </si>
  <si>
    <t>JG122</t>
  </si>
  <si>
    <t>ilex subsp. ballota</t>
  </si>
  <si>
    <t>MM1.11</t>
  </si>
  <si>
    <t>JG314</t>
  </si>
  <si>
    <t>pyrenaica</t>
  </si>
  <si>
    <t>RC4.1</t>
  </si>
  <si>
    <t>JG394</t>
  </si>
  <si>
    <t>robur</t>
  </si>
  <si>
    <t>JG420</t>
  </si>
  <si>
    <t>HP*10</t>
  </si>
  <si>
    <t>JG272</t>
  </si>
  <si>
    <t>Geraniaceae</t>
  </si>
  <si>
    <t>Geranium</t>
  </si>
  <si>
    <t>robertianum</t>
  </si>
  <si>
    <t>HP1.9</t>
  </si>
  <si>
    <t>JG288</t>
  </si>
  <si>
    <t>RC*8</t>
  </si>
  <si>
    <t>JG395</t>
  </si>
  <si>
    <t>RC*17</t>
  </si>
  <si>
    <t>JG396</t>
  </si>
  <si>
    <t>rotundifolium</t>
  </si>
  <si>
    <t>EQH3.17</t>
  </si>
  <si>
    <t>JG155</t>
  </si>
  <si>
    <t>Globulariaceae</t>
  </si>
  <si>
    <t>Globularia</t>
  </si>
  <si>
    <t>vulgaris</t>
  </si>
  <si>
    <t>EQH4.6</t>
  </si>
  <si>
    <t>JG173</t>
  </si>
  <si>
    <t>MM1.21</t>
  </si>
  <si>
    <t>JG315</t>
  </si>
  <si>
    <t>Agrostis</t>
  </si>
  <si>
    <t>curtisii</t>
  </si>
  <si>
    <t>4'.14</t>
  </si>
  <si>
    <t>30TVN308588</t>
  </si>
  <si>
    <t>Cilleruelo de Bezana. Carballeda, 806 m.</t>
  </si>
  <si>
    <t>JG023</t>
  </si>
  <si>
    <t>Aira</t>
  </si>
  <si>
    <t>caryophyllea</t>
  </si>
  <si>
    <t>4'.11</t>
  </si>
  <si>
    <t>JG024</t>
  </si>
  <si>
    <t>MM1.4</t>
  </si>
  <si>
    <t>JG316</t>
  </si>
  <si>
    <t>4'.10</t>
  </si>
  <si>
    <t>JG025</t>
  </si>
  <si>
    <t>Arrhenatherum</t>
  </si>
  <si>
    <t>elatius</t>
  </si>
  <si>
    <t>A. elatius subsp. bulbosum, A. elatius subsp. elatius var. bulbosus</t>
  </si>
  <si>
    <t>MV2.1</t>
  </si>
  <si>
    <t>30TVN326593</t>
  </si>
  <si>
    <t>Virtus. Melojar, 911 m.</t>
  </si>
  <si>
    <t>JG352</t>
  </si>
  <si>
    <t>EH2.16</t>
  </si>
  <si>
    <t>JG060</t>
  </si>
  <si>
    <t>Avenula</t>
  </si>
  <si>
    <t>pratensis subsp. iberica</t>
  </si>
  <si>
    <t>EQH2.7</t>
  </si>
  <si>
    <t>JG142</t>
  </si>
  <si>
    <t>sulcata subsp. sulcata</t>
  </si>
  <si>
    <t>A. lodunensis</t>
  </si>
  <si>
    <t>EQH3.16</t>
  </si>
  <si>
    <t>JG156</t>
  </si>
  <si>
    <t>QM1.11</t>
  </si>
  <si>
    <t>JG355</t>
  </si>
  <si>
    <t>EH2.14</t>
  </si>
  <si>
    <t>JG061</t>
  </si>
  <si>
    <t>Briza</t>
  </si>
  <si>
    <t>media subsp. media</t>
  </si>
  <si>
    <t>EQH2.10</t>
  </si>
  <si>
    <t>JG143</t>
  </si>
  <si>
    <t>QM2.8</t>
  </si>
  <si>
    <t>JG374</t>
  </si>
  <si>
    <t>EQC1.6</t>
  </si>
  <si>
    <t>JG078</t>
  </si>
  <si>
    <t>Bromus</t>
  </si>
  <si>
    <t>erectus subsp. erectus</t>
  </si>
  <si>
    <t>EQC2.25</t>
  </si>
  <si>
    <t>JG100</t>
  </si>
  <si>
    <t>QM2.16</t>
  </si>
  <si>
    <t>JG375</t>
  </si>
  <si>
    <t>QM2.14</t>
  </si>
  <si>
    <t>JG376</t>
  </si>
  <si>
    <t>Cynosurus</t>
  </si>
  <si>
    <t>echinatus</t>
  </si>
  <si>
    <t>4'.12</t>
  </si>
  <si>
    <t>JG026</t>
  </si>
  <si>
    <t>Dactylis</t>
  </si>
  <si>
    <t>glomerata subsp. glomerata</t>
  </si>
  <si>
    <t>EH1.8</t>
  </si>
  <si>
    <t>JG048</t>
  </si>
  <si>
    <t>EQC2.23</t>
  </si>
  <si>
    <t>JG101</t>
  </si>
  <si>
    <t>QM1.4</t>
  </si>
  <si>
    <t>JG356</t>
  </si>
  <si>
    <t>HC4.3</t>
  </si>
  <si>
    <t>30TVN332537</t>
  </si>
  <si>
    <t>Cilleruelo de Bezana. Hayedo de Carrales, 996 m.</t>
  </si>
  <si>
    <t>JG244</t>
  </si>
  <si>
    <t>Deschampsia</t>
  </si>
  <si>
    <t>flexuosa</t>
  </si>
  <si>
    <t>RC*16</t>
  </si>
  <si>
    <t>JG397</t>
  </si>
  <si>
    <t>EQH3.12</t>
  </si>
  <si>
    <t>JG157</t>
  </si>
  <si>
    <t>Festuca</t>
  </si>
  <si>
    <t>paniculata</t>
  </si>
  <si>
    <t>EQH4.12</t>
  </si>
  <si>
    <t>JG174</t>
  </si>
  <si>
    <t>EQL1.3</t>
  </si>
  <si>
    <t>JG195</t>
  </si>
  <si>
    <t>MM2.10</t>
  </si>
  <si>
    <t>JG336</t>
  </si>
  <si>
    <t>rubra subsp. rubra</t>
  </si>
  <si>
    <t>Festuca rubra</t>
  </si>
  <si>
    <t>MM1.10</t>
  </si>
  <si>
    <t>JG317</t>
  </si>
  <si>
    <t>EH2.13</t>
  </si>
  <si>
    <t>JG062</t>
  </si>
  <si>
    <t>Koeleria</t>
  </si>
  <si>
    <t>vallesiana</t>
  </si>
  <si>
    <t>EQH1.5</t>
  </si>
  <si>
    <t>JG123</t>
  </si>
  <si>
    <t>EQH2.11</t>
  </si>
  <si>
    <t>JG144</t>
  </si>
  <si>
    <t>EQH3.13</t>
  </si>
  <si>
    <t>JG158</t>
  </si>
  <si>
    <t>EQH4.13</t>
  </si>
  <si>
    <t>JG175</t>
  </si>
  <si>
    <t>HC4.5</t>
  </si>
  <si>
    <t>JG245</t>
  </si>
  <si>
    <t>Melica</t>
  </si>
  <si>
    <t>uniflora</t>
  </si>
  <si>
    <t>HP1.3</t>
  </si>
  <si>
    <t>JG289</t>
  </si>
  <si>
    <t>QM2.7</t>
  </si>
  <si>
    <t>JG377</t>
  </si>
  <si>
    <t>Phleum</t>
  </si>
  <si>
    <t>pratense</t>
  </si>
  <si>
    <t>4'.13</t>
  </si>
  <si>
    <t>JG027</t>
  </si>
  <si>
    <t>Poa</t>
  </si>
  <si>
    <t>trivialis</t>
  </si>
  <si>
    <t>MC1.7</t>
  </si>
  <si>
    <t>JG301</t>
  </si>
  <si>
    <t>RC*14</t>
  </si>
  <si>
    <t>JG398</t>
  </si>
  <si>
    <t>MM1.22</t>
  </si>
  <si>
    <t>JG318</t>
  </si>
  <si>
    <t>Pseudoarrhenatherum</t>
  </si>
  <si>
    <t>longifolium</t>
  </si>
  <si>
    <t>EQC1.10</t>
  </si>
  <si>
    <t>JG079</t>
  </si>
  <si>
    <t>Sesleria</t>
  </si>
  <si>
    <t>argentea</t>
  </si>
  <si>
    <t>S. argentea subsp. hispanica</t>
  </si>
  <si>
    <t>HP1.7</t>
  </si>
  <si>
    <t>JG290</t>
  </si>
  <si>
    <t>QM2.15</t>
  </si>
  <si>
    <t>JG378</t>
  </si>
  <si>
    <t>HP*12</t>
  </si>
  <si>
    <t>JG273</t>
  </si>
  <si>
    <t>Guttiferae</t>
  </si>
  <si>
    <t>Hypericum</t>
  </si>
  <si>
    <t>hirsutum</t>
  </si>
  <si>
    <t>EQC1.5</t>
  </si>
  <si>
    <t>JG080</t>
  </si>
  <si>
    <t>pulchrum</t>
  </si>
  <si>
    <t>MM1.17</t>
  </si>
  <si>
    <t>JG319</t>
  </si>
  <si>
    <t>MV*1</t>
  </si>
  <si>
    <t>JG348</t>
  </si>
  <si>
    <t>HM1.4</t>
  </si>
  <si>
    <t>JG263</t>
  </si>
  <si>
    <t>Juncaceae</t>
  </si>
  <si>
    <t>Juncus</t>
  </si>
  <si>
    <t>conglomeratus</t>
  </si>
  <si>
    <t>QM1.3</t>
  </si>
  <si>
    <t>JG357</t>
  </si>
  <si>
    <t>Luzula</t>
  </si>
  <si>
    <t>forsteri subsp. forsteri</t>
  </si>
  <si>
    <t>HC1.7</t>
  </si>
  <si>
    <t>JG218</t>
  </si>
  <si>
    <t>EH1.11</t>
  </si>
  <si>
    <t>JG049</t>
  </si>
  <si>
    <t>Labiatae</t>
  </si>
  <si>
    <t>Acinos</t>
  </si>
  <si>
    <t>alpinus</t>
  </si>
  <si>
    <t>EH2.20</t>
  </si>
  <si>
    <t>JG063</t>
  </si>
  <si>
    <t>EQH1.8</t>
  </si>
  <si>
    <t>JG124</t>
  </si>
  <si>
    <t>HC*11</t>
  </si>
  <si>
    <t>JG205</t>
  </si>
  <si>
    <t>QM2.18</t>
  </si>
  <si>
    <t>JG379</t>
  </si>
  <si>
    <t>4'.3</t>
  </si>
  <si>
    <t>JG028</t>
  </si>
  <si>
    <t>Ajuga</t>
  </si>
  <si>
    <t>reptans</t>
  </si>
  <si>
    <t>HC2.8</t>
  </si>
  <si>
    <t>JG231</t>
  </si>
  <si>
    <t>HC1.11</t>
  </si>
  <si>
    <t>JG219</t>
  </si>
  <si>
    <t>Lamium</t>
  </si>
  <si>
    <t>galeobdolon subsp. montanum</t>
  </si>
  <si>
    <t>HP1.13</t>
  </si>
  <si>
    <t>JG291</t>
  </si>
  <si>
    <t>HP*8</t>
  </si>
  <si>
    <t>JG274</t>
  </si>
  <si>
    <t>maculatum</t>
  </si>
  <si>
    <t>HH*1</t>
  </si>
  <si>
    <t>JG254</t>
  </si>
  <si>
    <t>Melittis</t>
  </si>
  <si>
    <t>melissophyllum</t>
  </si>
  <si>
    <t>HH1.4</t>
  </si>
  <si>
    <t>JG256</t>
  </si>
  <si>
    <t>HP*6</t>
  </si>
  <si>
    <t>JG275</t>
  </si>
  <si>
    <t>MM2.6</t>
  </si>
  <si>
    <t>JG337</t>
  </si>
  <si>
    <t>Nepeta</t>
  </si>
  <si>
    <t>nepetella</t>
  </si>
  <si>
    <t>EQH3.10</t>
  </si>
  <si>
    <t>JG159</t>
  </si>
  <si>
    <t>Prunella</t>
  </si>
  <si>
    <t>laciniata</t>
  </si>
  <si>
    <t>EQC1.3</t>
  </si>
  <si>
    <t>JG081</t>
  </si>
  <si>
    <t>MM2.11</t>
  </si>
  <si>
    <t>JG338</t>
  </si>
  <si>
    <t>EH2.5</t>
  </si>
  <si>
    <t>JG064</t>
  </si>
  <si>
    <t>Stachys</t>
  </si>
  <si>
    <t>officinalis</t>
  </si>
  <si>
    <t>EQC1.7</t>
  </si>
  <si>
    <t>JG082</t>
  </si>
  <si>
    <t>3'.9</t>
  </si>
  <si>
    <t>JG014</t>
  </si>
  <si>
    <t>Thymus</t>
  </si>
  <si>
    <t>praecox subsp. britannicus</t>
  </si>
  <si>
    <t>EQH1.6</t>
  </si>
  <si>
    <t>JG125</t>
  </si>
  <si>
    <t>EH2.4</t>
  </si>
  <si>
    <t>JG065</t>
  </si>
  <si>
    <t>Leguminosae</t>
  </si>
  <si>
    <t>Anthyllis</t>
  </si>
  <si>
    <t>vulneraria subsp. gandogeri</t>
  </si>
  <si>
    <t>EQC2.11</t>
  </si>
  <si>
    <t>JG102</t>
  </si>
  <si>
    <t>EQH4.8</t>
  </si>
  <si>
    <t>JG176</t>
  </si>
  <si>
    <t>HC*4</t>
  </si>
  <si>
    <t>JG206</t>
  </si>
  <si>
    <t>QM2.4</t>
  </si>
  <si>
    <t>JG380</t>
  </si>
  <si>
    <t>EQC2.29</t>
  </si>
  <si>
    <t>JG103</t>
  </si>
  <si>
    <t>Argyrolobium</t>
  </si>
  <si>
    <t>zanonii subsp. zanonii</t>
  </si>
  <si>
    <t>EQH1.22</t>
  </si>
  <si>
    <t>JG126</t>
  </si>
  <si>
    <t>EQH3.9</t>
  </si>
  <si>
    <t>JG160</t>
  </si>
  <si>
    <t>MM2.12</t>
  </si>
  <si>
    <t>JG339</t>
  </si>
  <si>
    <t>EQC2.6</t>
  </si>
  <si>
    <t>JG104</t>
  </si>
  <si>
    <t>Bituminaria</t>
  </si>
  <si>
    <t>bituminosa</t>
  </si>
  <si>
    <t>Aspalthium bituminosum, Psoralea bituminosa</t>
  </si>
  <si>
    <t>3'.13</t>
  </si>
  <si>
    <t>JG015</t>
  </si>
  <si>
    <t>Chamaespartium</t>
  </si>
  <si>
    <t>sagittale</t>
  </si>
  <si>
    <t>EQH1.9</t>
  </si>
  <si>
    <t>JG127</t>
  </si>
  <si>
    <t>Coronilla</t>
  </si>
  <si>
    <t>minima subsp. lotoides</t>
  </si>
  <si>
    <t>EH1.9</t>
  </si>
  <si>
    <t>JG050</t>
  </si>
  <si>
    <t>minima subsp. minima</t>
  </si>
  <si>
    <t>EH2.8</t>
  </si>
  <si>
    <t>JG066</t>
  </si>
  <si>
    <t>EQC2.28</t>
  </si>
  <si>
    <t>JG105</t>
  </si>
  <si>
    <t>EQH2.6</t>
  </si>
  <si>
    <t>JG145</t>
  </si>
  <si>
    <t>EQH3.8</t>
  </si>
  <si>
    <t>JG161</t>
  </si>
  <si>
    <t>EQH4.18</t>
  </si>
  <si>
    <t>JG177</t>
  </si>
  <si>
    <t>HC*6</t>
  </si>
  <si>
    <t>JG207</t>
  </si>
  <si>
    <t>Cytisus</t>
  </si>
  <si>
    <t>cantabricus</t>
  </si>
  <si>
    <t>MM2.3</t>
  </si>
  <si>
    <t>JG340</t>
  </si>
  <si>
    <t>RC4.5</t>
  </si>
  <si>
    <t>JG421</t>
  </si>
  <si>
    <t>EQL1.8</t>
  </si>
  <si>
    <t>JG196</t>
  </si>
  <si>
    <t>Dorycnium</t>
  </si>
  <si>
    <t>pentaphyllum</t>
  </si>
  <si>
    <t>1'.3</t>
  </si>
  <si>
    <t>JG002</t>
  </si>
  <si>
    <t>Genista</t>
  </si>
  <si>
    <t>anglica</t>
  </si>
  <si>
    <t>RC*18</t>
  </si>
  <si>
    <t>JG399</t>
  </si>
  <si>
    <t>florida</t>
  </si>
  <si>
    <t>3'.10</t>
  </si>
  <si>
    <t>JG016</t>
  </si>
  <si>
    <t>hispanica subsp. occidentalis</t>
  </si>
  <si>
    <t>EH2.11</t>
  </si>
  <si>
    <t>JG067</t>
  </si>
  <si>
    <t>EQC1.9</t>
  </si>
  <si>
    <t>JG083</t>
  </si>
  <si>
    <t>EQH1.3</t>
  </si>
  <si>
    <t>JG128</t>
  </si>
  <si>
    <t>EQH2.13</t>
  </si>
  <si>
    <t>JG146</t>
  </si>
  <si>
    <t>EQH4.19</t>
  </si>
  <si>
    <t>JG178</t>
  </si>
  <si>
    <t>QM2.12</t>
  </si>
  <si>
    <t>JG381</t>
  </si>
  <si>
    <t>EQC2.10</t>
  </si>
  <si>
    <t>JG106</t>
  </si>
  <si>
    <t>scorpius</t>
  </si>
  <si>
    <t>EQH1.15</t>
  </si>
  <si>
    <t>JG129</t>
  </si>
  <si>
    <t>EQH3.19</t>
  </si>
  <si>
    <t>JG162</t>
  </si>
  <si>
    <t>QM2.5</t>
  </si>
  <si>
    <t>JG382</t>
  </si>
  <si>
    <t>QM1.14</t>
  </si>
  <si>
    <t>JG358</t>
  </si>
  <si>
    <t>Lathyrus</t>
  </si>
  <si>
    <t>filiformis</t>
  </si>
  <si>
    <t>EQC1.14</t>
  </si>
  <si>
    <t>JG084</t>
  </si>
  <si>
    <t>linifolius</t>
  </si>
  <si>
    <t>4'.7</t>
  </si>
  <si>
    <t>JG029</t>
  </si>
  <si>
    <t>niger</t>
  </si>
  <si>
    <t>MM2.8</t>
  </si>
  <si>
    <t>JG341</t>
  </si>
  <si>
    <t>QM1.7</t>
  </si>
  <si>
    <t>JG359</t>
  </si>
  <si>
    <t>MM1.25</t>
  </si>
  <si>
    <t>JG320</t>
  </si>
  <si>
    <t>sphaericus</t>
  </si>
  <si>
    <t>RC*6</t>
  </si>
  <si>
    <t>JG400</t>
  </si>
  <si>
    <t>Lotus</t>
  </si>
  <si>
    <t>corniculatus subsp. carpetanus</t>
  </si>
  <si>
    <t>HC*10</t>
  </si>
  <si>
    <t>JG208</t>
  </si>
  <si>
    <t>corniculatus subsp. corniculatus</t>
  </si>
  <si>
    <t>MM1.2</t>
  </si>
  <si>
    <t>JG321</t>
  </si>
  <si>
    <t>QM1.10</t>
  </si>
  <si>
    <t>JG360</t>
  </si>
  <si>
    <t>QM2.21</t>
  </si>
  <si>
    <t>JG383</t>
  </si>
  <si>
    <t>3'.11</t>
  </si>
  <si>
    <t>JG017</t>
  </si>
  <si>
    <t>Onobrychis</t>
  </si>
  <si>
    <t>supina</t>
  </si>
  <si>
    <t>QM2.22</t>
  </si>
  <si>
    <t>JG384</t>
  </si>
  <si>
    <t>Ononis</t>
  </si>
  <si>
    <t>pusilla subsp. pusilla</t>
  </si>
  <si>
    <t>MM1.18</t>
  </si>
  <si>
    <t>JG322</t>
  </si>
  <si>
    <t>spinosa subsp. spinosa</t>
  </si>
  <si>
    <t>2'.3</t>
  </si>
  <si>
    <t>JG008</t>
  </si>
  <si>
    <t>Tetragonolobus</t>
  </si>
  <si>
    <t>maritimus</t>
  </si>
  <si>
    <t>3'.5</t>
  </si>
  <si>
    <t>JG018</t>
  </si>
  <si>
    <t>Trifolium</t>
  </si>
  <si>
    <t>pratense subsp. pratense</t>
  </si>
  <si>
    <t>QM1.2</t>
  </si>
  <si>
    <t>JG361</t>
  </si>
  <si>
    <t>QM2.19</t>
  </si>
  <si>
    <t>JG385</t>
  </si>
  <si>
    <t>3'.6</t>
  </si>
  <si>
    <t>JG019</t>
  </si>
  <si>
    <t>repens</t>
  </si>
  <si>
    <t>MM1.27</t>
  </si>
  <si>
    <t>JG323</t>
  </si>
  <si>
    <t>Ulex</t>
  </si>
  <si>
    <t>gallii subsp. gallii</t>
  </si>
  <si>
    <t>RC*4</t>
  </si>
  <si>
    <t>JG401</t>
  </si>
  <si>
    <t>3'.1</t>
  </si>
  <si>
    <t>JG020</t>
  </si>
  <si>
    <t>Vicia</t>
  </si>
  <si>
    <t>cracca</t>
  </si>
  <si>
    <t>EH2.2</t>
  </si>
  <si>
    <t>JG068</t>
  </si>
  <si>
    <t>EQC1.12</t>
  </si>
  <si>
    <t>JG085</t>
  </si>
  <si>
    <t>HC*8</t>
  </si>
  <si>
    <t>JG209</t>
  </si>
  <si>
    <t>QM1.6</t>
  </si>
  <si>
    <t>JG362</t>
  </si>
  <si>
    <t>MM1.24</t>
  </si>
  <si>
    <t>JG324</t>
  </si>
  <si>
    <t>lutea subsp. lutea</t>
  </si>
  <si>
    <t>MM1.3</t>
  </si>
  <si>
    <t>JG325</t>
  </si>
  <si>
    <t>sativa subsp. sativa</t>
  </si>
  <si>
    <t>RC*7</t>
  </si>
  <si>
    <t>JG402</t>
  </si>
  <si>
    <t>HC1.14</t>
  </si>
  <si>
    <t>JG220</t>
  </si>
  <si>
    <t>sepium</t>
  </si>
  <si>
    <t>HC3.3</t>
  </si>
  <si>
    <t>JG241</t>
  </si>
  <si>
    <t>HC4.7</t>
  </si>
  <si>
    <t>JG246</t>
  </si>
  <si>
    <t>HP*1</t>
  </si>
  <si>
    <t>JG276</t>
  </si>
  <si>
    <t>HP2.3</t>
  </si>
  <si>
    <t>JG297</t>
  </si>
  <si>
    <t>EH1.1</t>
  </si>
  <si>
    <t>JG051</t>
  </si>
  <si>
    <t>Liliaceae</t>
  </si>
  <si>
    <t>Anthericum</t>
  </si>
  <si>
    <t>liliago subsp. liliago</t>
  </si>
  <si>
    <t>EQC2.2</t>
  </si>
  <si>
    <t>JG107</t>
  </si>
  <si>
    <t>EQH4.2</t>
  </si>
  <si>
    <t>JG179</t>
  </si>
  <si>
    <t>EQH1.17</t>
  </si>
  <si>
    <t>JG130</t>
  </si>
  <si>
    <t>Aphyllanthes</t>
  </si>
  <si>
    <t>monspeliensis</t>
  </si>
  <si>
    <t>EQH2.3</t>
  </si>
  <si>
    <t>JG147</t>
  </si>
  <si>
    <t>QM1.1</t>
  </si>
  <si>
    <t>JG363</t>
  </si>
  <si>
    <t>Asphodelus</t>
  </si>
  <si>
    <t>albus subsp. albus</t>
  </si>
  <si>
    <t>HP1.8</t>
  </si>
  <si>
    <t>JG292</t>
  </si>
  <si>
    <t>Lilium</t>
  </si>
  <si>
    <t>martagon</t>
  </si>
  <si>
    <t>EH1*2</t>
  </si>
  <si>
    <t>JG052</t>
  </si>
  <si>
    <t>Merendera</t>
  </si>
  <si>
    <t>EQC2.19</t>
  </si>
  <si>
    <t>JG108</t>
  </si>
  <si>
    <t>Muscari</t>
  </si>
  <si>
    <t>neglectum</t>
  </si>
  <si>
    <t>HP*2</t>
  </si>
  <si>
    <t>JG277</t>
  </si>
  <si>
    <t>Polygonatum</t>
  </si>
  <si>
    <t>multiflorum</t>
  </si>
  <si>
    <t>EQH4.11</t>
  </si>
  <si>
    <t>JG180</t>
  </si>
  <si>
    <t>Ruscus</t>
  </si>
  <si>
    <t>aculeatus</t>
  </si>
  <si>
    <t>EH1*1</t>
  </si>
  <si>
    <t>JG053</t>
  </si>
  <si>
    <t>Scilla</t>
  </si>
  <si>
    <t>autumnalis</t>
  </si>
  <si>
    <t>HC1.1</t>
  </si>
  <si>
    <t>JG221</t>
  </si>
  <si>
    <t>lilio-hyacinthus</t>
  </si>
  <si>
    <t>HH1.1</t>
  </si>
  <si>
    <t>JG257</t>
  </si>
  <si>
    <t>MM1.5</t>
  </si>
  <si>
    <t>JG326</t>
  </si>
  <si>
    <t>Simethis</t>
  </si>
  <si>
    <t>mattiazzii</t>
  </si>
  <si>
    <t>MV1.1</t>
  </si>
  <si>
    <t>JG350</t>
  </si>
  <si>
    <t>EQH2.2</t>
  </si>
  <si>
    <t>JG148</t>
  </si>
  <si>
    <t>Linaceae</t>
  </si>
  <si>
    <t>Linum</t>
  </si>
  <si>
    <t>narbonense</t>
  </si>
  <si>
    <t>EQL1.1</t>
  </si>
  <si>
    <t>JG197</t>
  </si>
  <si>
    <t>EQH1.4</t>
  </si>
  <si>
    <t>JG131</t>
  </si>
  <si>
    <t>suffruticosum subsp. appresum</t>
  </si>
  <si>
    <t>EQH2.12</t>
  </si>
  <si>
    <t>JG149</t>
  </si>
  <si>
    <t>3'.2</t>
  </si>
  <si>
    <t>JG021</t>
  </si>
  <si>
    <t>Oleaceae</t>
  </si>
  <si>
    <t>Ligustrum</t>
  </si>
  <si>
    <t>vulgare</t>
  </si>
  <si>
    <t>MM2.5</t>
  </si>
  <si>
    <t>JG342</t>
  </si>
  <si>
    <t>Orchidaceae</t>
  </si>
  <si>
    <t>Serapias</t>
  </si>
  <si>
    <t>lingua</t>
  </si>
  <si>
    <t>HC4.10</t>
  </si>
  <si>
    <t>JG247</t>
  </si>
  <si>
    <t>Oxalidaceae</t>
  </si>
  <si>
    <t>Oxalis</t>
  </si>
  <si>
    <t>acetosella subsp. acetosella</t>
  </si>
  <si>
    <t>RC*13</t>
  </si>
  <si>
    <t>JG403</t>
  </si>
  <si>
    <t>Papaveraceae</t>
  </si>
  <si>
    <t>Ceratocapnos</t>
  </si>
  <si>
    <t>claviculata</t>
  </si>
  <si>
    <t>RC2.5</t>
  </si>
  <si>
    <t>JG410</t>
  </si>
  <si>
    <t>MM1.15</t>
  </si>
  <si>
    <t>JG327</t>
  </si>
  <si>
    <t>Polygalaceae</t>
  </si>
  <si>
    <t>Polygala</t>
  </si>
  <si>
    <t>MM2.7</t>
  </si>
  <si>
    <t>JG343</t>
  </si>
  <si>
    <t>MM2.2</t>
  </si>
  <si>
    <t>JG344</t>
  </si>
  <si>
    <t>Polygonaceae</t>
  </si>
  <si>
    <t>Rumex</t>
  </si>
  <si>
    <t>acetosa subsp. acetosa</t>
  </si>
  <si>
    <t>HP*3</t>
  </si>
  <si>
    <t>JG278</t>
  </si>
  <si>
    <t>Polypodiaceae</t>
  </si>
  <si>
    <t>Polypodium</t>
  </si>
  <si>
    <t>RC*1</t>
  </si>
  <si>
    <t>JG404</t>
  </si>
  <si>
    <t>EQH4.3</t>
  </si>
  <si>
    <t>JG181</t>
  </si>
  <si>
    <t>Primulaceae</t>
  </si>
  <si>
    <t>Asterolinon</t>
  </si>
  <si>
    <t>linum-stellatum</t>
  </si>
  <si>
    <t>EQC2.24</t>
  </si>
  <si>
    <t>JG109</t>
  </si>
  <si>
    <t>Coris</t>
  </si>
  <si>
    <t>monspeliensis subsp. monspeliensis</t>
  </si>
  <si>
    <t>EQH3.5</t>
  </si>
  <si>
    <t>JG163</t>
  </si>
  <si>
    <t>EQH4.7</t>
  </si>
  <si>
    <t>JG182</t>
  </si>
  <si>
    <t>4'.5</t>
  </si>
  <si>
    <t>JG030</t>
  </si>
  <si>
    <t>Lysimachia</t>
  </si>
  <si>
    <t>nemorum</t>
  </si>
  <si>
    <t>HC4.2</t>
  </si>
  <si>
    <t>JG248</t>
  </si>
  <si>
    <t>HM1.1</t>
  </si>
  <si>
    <t>JG264</t>
  </si>
  <si>
    <t>1'.2</t>
  </si>
  <si>
    <t>JG003</t>
  </si>
  <si>
    <t>Primula</t>
  </si>
  <si>
    <t>veris subsp. columnae</t>
  </si>
  <si>
    <t>EQC1.4</t>
  </si>
  <si>
    <t>JG086</t>
  </si>
  <si>
    <t>HC1.5</t>
  </si>
  <si>
    <t>JG222</t>
  </si>
  <si>
    <t>Ranunculaceae</t>
  </si>
  <si>
    <t>Anemone</t>
  </si>
  <si>
    <t>nemorosa</t>
  </si>
  <si>
    <t>HC2.5</t>
  </si>
  <si>
    <t>JG232</t>
  </si>
  <si>
    <t>4'.1</t>
  </si>
  <si>
    <t>JG031</t>
  </si>
  <si>
    <t>Aquilegia</t>
  </si>
  <si>
    <t>vulgaris subsp. vulgaris</t>
  </si>
  <si>
    <t>HC2.3</t>
  </si>
  <si>
    <t>JG233</t>
  </si>
  <si>
    <t>MC1.5</t>
  </si>
  <si>
    <t>JG302</t>
  </si>
  <si>
    <t>HH1.3</t>
  </si>
  <si>
    <t>JG258</t>
  </si>
  <si>
    <t>Helleborus</t>
  </si>
  <si>
    <t>foetidus</t>
  </si>
  <si>
    <t>HC1.8</t>
  </si>
  <si>
    <t>JG223</t>
  </si>
  <si>
    <t>viridis subsp. occidentalis</t>
  </si>
  <si>
    <t>HC3.4</t>
  </si>
  <si>
    <t>JG242</t>
  </si>
  <si>
    <t>HP1.1</t>
  </si>
  <si>
    <t>JG293</t>
  </si>
  <si>
    <t>HC1.6</t>
  </si>
  <si>
    <t>JG224</t>
  </si>
  <si>
    <t>Hepatica</t>
  </si>
  <si>
    <t>nobilis</t>
  </si>
  <si>
    <t>1'.5</t>
  </si>
  <si>
    <t>JG004</t>
  </si>
  <si>
    <t>Ranunculus</t>
  </si>
  <si>
    <t>bulbosus subsp. bulbosus</t>
  </si>
  <si>
    <t>4'.6</t>
  </si>
  <si>
    <t>JG032</t>
  </si>
  <si>
    <t>tuberosus</t>
  </si>
  <si>
    <t>HC2.4</t>
  </si>
  <si>
    <t>JG234</t>
  </si>
  <si>
    <t>HC4.1</t>
  </si>
  <si>
    <t>JG249</t>
  </si>
  <si>
    <t>MC1.8</t>
  </si>
  <si>
    <t>JG303</t>
  </si>
  <si>
    <t>MM1.23</t>
  </si>
  <si>
    <t>JG328</t>
  </si>
  <si>
    <t>EQH1.10</t>
  </si>
  <si>
    <t>JG132</t>
  </si>
  <si>
    <t>Thalictrum</t>
  </si>
  <si>
    <t>tuberosum</t>
  </si>
  <si>
    <t>MC*1</t>
  </si>
  <si>
    <t>JG304</t>
  </si>
  <si>
    <t>Rhamnaceae</t>
  </si>
  <si>
    <t>Frangula</t>
  </si>
  <si>
    <t>alnus subsp. alnus</t>
  </si>
  <si>
    <t>RC2.1</t>
  </si>
  <si>
    <t>JG411</t>
  </si>
  <si>
    <t>EQH1.13</t>
  </si>
  <si>
    <t>JG133</t>
  </si>
  <si>
    <t>Rhamnus</t>
  </si>
  <si>
    <t>alaternus subsp. alaternus</t>
  </si>
  <si>
    <t>QM2.17</t>
  </si>
  <si>
    <t>JG386</t>
  </si>
  <si>
    <t>EQH1.1</t>
  </si>
  <si>
    <t>JG134</t>
  </si>
  <si>
    <t>Rosaceae</t>
  </si>
  <si>
    <t>Amelanchier</t>
  </si>
  <si>
    <t>ovalis</t>
  </si>
  <si>
    <t>HC3.2</t>
  </si>
  <si>
    <t>JG243</t>
  </si>
  <si>
    <t>Crataegus</t>
  </si>
  <si>
    <t>monogyna</t>
  </si>
  <si>
    <t>EQH4.1</t>
  </si>
  <si>
    <t>JG183</t>
  </si>
  <si>
    <t>Filipendula</t>
  </si>
  <si>
    <t>HM1.3</t>
  </si>
  <si>
    <t>JG265</t>
  </si>
  <si>
    <t>Geum</t>
  </si>
  <si>
    <t>hispidum</t>
  </si>
  <si>
    <t>HP*15</t>
  </si>
  <si>
    <t>JG279</t>
  </si>
  <si>
    <t>pyrenaicum</t>
  </si>
  <si>
    <t>4'.15</t>
  </si>
  <si>
    <t>JG033</t>
  </si>
  <si>
    <t>Potentilla</t>
  </si>
  <si>
    <t>erecta</t>
  </si>
  <si>
    <t>MM1.8</t>
  </si>
  <si>
    <t>JG329</t>
  </si>
  <si>
    <t>MV2.2</t>
  </si>
  <si>
    <t>JG353</t>
  </si>
  <si>
    <t>1'.4</t>
  </si>
  <si>
    <t>JG005</t>
  </si>
  <si>
    <t>EQC1.15</t>
  </si>
  <si>
    <t>JG087</t>
  </si>
  <si>
    <t>HC*9</t>
  </si>
  <si>
    <t>JG210</t>
  </si>
  <si>
    <t>QM1.9</t>
  </si>
  <si>
    <t>JG364</t>
  </si>
  <si>
    <t>QM2.3</t>
  </si>
  <si>
    <t>JG387</t>
  </si>
  <si>
    <t>RC4.8</t>
  </si>
  <si>
    <t>JG422</t>
  </si>
  <si>
    <t>Pyrus</t>
  </si>
  <si>
    <t>cordata</t>
  </si>
  <si>
    <t>3'.12</t>
  </si>
  <si>
    <t>JG022</t>
  </si>
  <si>
    <t>Rosa</t>
  </si>
  <si>
    <t>pendulina</t>
  </si>
  <si>
    <t>EQH1.11</t>
  </si>
  <si>
    <t>JG135</t>
  </si>
  <si>
    <t>EH*1</t>
  </si>
  <si>
    <t>JG038</t>
  </si>
  <si>
    <t>pimpinellifolia</t>
  </si>
  <si>
    <t>RC*5</t>
  </si>
  <si>
    <t>JG405</t>
  </si>
  <si>
    <t>Rubus</t>
  </si>
  <si>
    <t>caesius</t>
  </si>
  <si>
    <t>4'.2</t>
  </si>
  <si>
    <t>JG034</t>
  </si>
  <si>
    <t>canescens</t>
  </si>
  <si>
    <t>RC2.6</t>
  </si>
  <si>
    <t>JG412</t>
  </si>
  <si>
    <t xml:space="preserve">Sorbus </t>
  </si>
  <si>
    <t>aria</t>
  </si>
  <si>
    <t>RC3.2</t>
  </si>
  <si>
    <t>JG416</t>
  </si>
  <si>
    <t>RC*12</t>
  </si>
  <si>
    <t>JG406</t>
  </si>
  <si>
    <t>aucuparia</t>
  </si>
  <si>
    <t>EQH4.4</t>
  </si>
  <si>
    <t>JG184</t>
  </si>
  <si>
    <t>Spiraea</t>
  </si>
  <si>
    <t>hypericifolia subsp. obovata</t>
  </si>
  <si>
    <t>EQH4.16</t>
  </si>
  <si>
    <t>JG185</t>
  </si>
  <si>
    <t>Rubiaceae</t>
  </si>
  <si>
    <t>Crucianella</t>
  </si>
  <si>
    <t>angustifolia</t>
  </si>
  <si>
    <t>EH2.6</t>
  </si>
  <si>
    <t>JG069</t>
  </si>
  <si>
    <t>Cruciata</t>
  </si>
  <si>
    <t>glabra subsp. glabra</t>
  </si>
  <si>
    <t>EQC1.8</t>
  </si>
  <si>
    <t>JG088</t>
  </si>
  <si>
    <t>HC4.9</t>
  </si>
  <si>
    <t>JG250</t>
  </si>
  <si>
    <t>MM1.19</t>
  </si>
  <si>
    <t>JG330</t>
  </si>
  <si>
    <t>QM1.8</t>
  </si>
  <si>
    <t>JG365</t>
  </si>
  <si>
    <t>QM2.23</t>
  </si>
  <si>
    <t>JG388</t>
  </si>
  <si>
    <t>EH2.24</t>
  </si>
  <si>
    <t>JG070</t>
  </si>
  <si>
    <t>Galium</t>
  </si>
  <si>
    <t>aparine subsp. aparine</t>
  </si>
  <si>
    <t>EH2.1</t>
  </si>
  <si>
    <t>JG071</t>
  </si>
  <si>
    <t>mollugo subsp. mollugo</t>
  </si>
  <si>
    <t>EQC2.18</t>
  </si>
  <si>
    <t>JG110</t>
  </si>
  <si>
    <t>EQH1.25</t>
  </si>
  <si>
    <t>JG136</t>
  </si>
  <si>
    <t>EQH3.15</t>
  </si>
  <si>
    <t>JG164</t>
  </si>
  <si>
    <t>EQH4.9</t>
  </si>
  <si>
    <t>JG186</t>
  </si>
  <si>
    <t>QM2.24</t>
  </si>
  <si>
    <t>JG389</t>
  </si>
  <si>
    <t>HC1.10</t>
  </si>
  <si>
    <t>JG225</t>
  </si>
  <si>
    <t>HC4.8</t>
  </si>
  <si>
    <t>JG251</t>
  </si>
  <si>
    <t>EQC1.11</t>
  </si>
  <si>
    <t>JG089</t>
  </si>
  <si>
    <t>saxatile</t>
  </si>
  <si>
    <t>EQL1.4</t>
  </si>
  <si>
    <t>JG198</t>
  </si>
  <si>
    <t>QM1.12</t>
  </si>
  <si>
    <t>JG366</t>
  </si>
  <si>
    <t>RC4.6</t>
  </si>
  <si>
    <t>JG423</t>
  </si>
  <si>
    <t>4'.9</t>
  </si>
  <si>
    <t>JG035</t>
  </si>
  <si>
    <t>Rubia</t>
  </si>
  <si>
    <t>peregrina</t>
  </si>
  <si>
    <t>EQH3.18</t>
  </si>
  <si>
    <t>JG165</t>
  </si>
  <si>
    <t>HC1.16</t>
  </si>
  <si>
    <t>JG226</t>
  </si>
  <si>
    <t>Salicaceae</t>
  </si>
  <si>
    <t>Populus</t>
  </si>
  <si>
    <t>tremula</t>
  </si>
  <si>
    <t>RC2.2</t>
  </si>
  <si>
    <t>JG413</t>
  </si>
  <si>
    <t>Salix</t>
  </si>
  <si>
    <t>atrocinerea</t>
  </si>
  <si>
    <t>EH2.21</t>
  </si>
  <si>
    <t>JG072</t>
  </si>
  <si>
    <t>Scrophulariaceae</t>
  </si>
  <si>
    <t>Chaenorhinum</t>
  </si>
  <si>
    <t>origanifolium subsp. origanifolium</t>
  </si>
  <si>
    <t>EH2.10</t>
  </si>
  <si>
    <t>JG073</t>
  </si>
  <si>
    <t>Erinus</t>
  </si>
  <si>
    <t>EQC2.16</t>
  </si>
  <si>
    <t>JG111</t>
  </si>
  <si>
    <t>EQH4.17</t>
  </si>
  <si>
    <t>JG187</t>
  </si>
  <si>
    <t>EQC2.14</t>
  </si>
  <si>
    <t>JG112</t>
  </si>
  <si>
    <t>Linaria</t>
  </si>
  <si>
    <t>propinqua</t>
  </si>
  <si>
    <t>MV1.3</t>
  </si>
  <si>
    <t>JG351</t>
  </si>
  <si>
    <t>Melampyrum</t>
  </si>
  <si>
    <t>QM1.13</t>
  </si>
  <si>
    <t>JG367</t>
  </si>
  <si>
    <t>RC2.3</t>
  </si>
  <si>
    <t>JG414</t>
  </si>
  <si>
    <t>RC4.4</t>
  </si>
  <si>
    <t>JG424</t>
  </si>
  <si>
    <t>4'.16</t>
  </si>
  <si>
    <t>JG036</t>
  </si>
  <si>
    <t>Veronica</t>
  </si>
  <si>
    <t>chamaedrys subsp. chamaedrys</t>
  </si>
  <si>
    <t>HC4.4</t>
  </si>
  <si>
    <t>JG252</t>
  </si>
  <si>
    <t>HP2.4</t>
  </si>
  <si>
    <t>JG298</t>
  </si>
  <si>
    <t>RC*10</t>
  </si>
  <si>
    <t>JG407</t>
  </si>
  <si>
    <t>MC1.3</t>
  </si>
  <si>
    <t>JG305</t>
  </si>
  <si>
    <t>hederifolia</t>
  </si>
  <si>
    <t>HC1.17</t>
  </si>
  <si>
    <t>JG227</t>
  </si>
  <si>
    <t>MM1.13</t>
  </si>
  <si>
    <t>JG331</t>
  </si>
  <si>
    <t>RC*9</t>
  </si>
  <si>
    <t>JG408</t>
  </si>
  <si>
    <t>MM1.16</t>
  </si>
  <si>
    <t>JG332</t>
  </si>
  <si>
    <t>ponae</t>
  </si>
  <si>
    <t>HC*12</t>
  </si>
  <si>
    <t>JG211</t>
  </si>
  <si>
    <t>serpyllifolia subsp. serpyllifolia</t>
  </si>
  <si>
    <t>HC1.3</t>
  </si>
  <si>
    <t>JG228</t>
  </si>
  <si>
    <t>Thymelaeaceae</t>
  </si>
  <si>
    <t>Daphne</t>
  </si>
  <si>
    <t>laureola</t>
  </si>
  <si>
    <t>EQC2.4</t>
  </si>
  <si>
    <t>JG113</t>
  </si>
  <si>
    <t>Umbelliferae</t>
  </si>
  <si>
    <t>Bupleurum</t>
  </si>
  <si>
    <t>rigidum subsp. rigidum</t>
  </si>
  <si>
    <t>EQH3.4</t>
  </si>
  <si>
    <t>JG166</t>
  </si>
  <si>
    <t>4'.4</t>
  </si>
  <si>
    <t>JG037</t>
  </si>
  <si>
    <t>Conopodium</t>
  </si>
  <si>
    <t>pyrenaeum</t>
  </si>
  <si>
    <t>EQH1.19</t>
  </si>
  <si>
    <t>JG137</t>
  </si>
  <si>
    <t>HC2.7</t>
  </si>
  <si>
    <t>JG235</t>
  </si>
  <si>
    <t>HC4.6</t>
  </si>
  <si>
    <t>JG253</t>
  </si>
  <si>
    <t>HP*14</t>
  </si>
  <si>
    <t>JG280</t>
  </si>
  <si>
    <t>MC1.4</t>
  </si>
  <si>
    <t>JG306</t>
  </si>
  <si>
    <t>MM1.12</t>
  </si>
  <si>
    <t>JG333</t>
  </si>
  <si>
    <t>MM2.9</t>
  </si>
  <si>
    <t>JG345</t>
  </si>
  <si>
    <t>HP*17</t>
  </si>
  <si>
    <t>JG281</t>
  </si>
  <si>
    <t>Sanicula</t>
  </si>
  <si>
    <t>europaea</t>
  </si>
  <si>
    <t>MC1.6</t>
  </si>
  <si>
    <t>JG307</t>
  </si>
  <si>
    <t>MM2.1</t>
  </si>
  <si>
    <t>JG346</t>
  </si>
  <si>
    <t>Thapsia</t>
  </si>
  <si>
    <t>MC1.1</t>
  </si>
  <si>
    <t>JG308</t>
  </si>
  <si>
    <t>Urticaceae</t>
  </si>
  <si>
    <t>Urtica</t>
  </si>
  <si>
    <t>dioica</t>
  </si>
  <si>
    <t>HC1.4</t>
  </si>
  <si>
    <t>JG229</t>
  </si>
  <si>
    <t>Violaceae</t>
  </si>
  <si>
    <t>Viola</t>
  </si>
  <si>
    <t>riviniana</t>
  </si>
  <si>
    <t>HC2*1</t>
  </si>
  <si>
    <t>JG236</t>
  </si>
  <si>
    <t>HH2.2</t>
  </si>
  <si>
    <t>JG260</t>
  </si>
  <si>
    <t>MC*2</t>
  </si>
  <si>
    <t>JG309</t>
  </si>
  <si>
    <t>Viscaceae</t>
  </si>
  <si>
    <t>Viscum</t>
  </si>
  <si>
    <t>album subsp. album</t>
  </si>
  <si>
    <t>Anthoxanthum odoratum</t>
  </si>
  <si>
    <t>Acer campestre</t>
  </si>
  <si>
    <t>Acer pseudoplatanus</t>
  </si>
  <si>
    <t>Ilex aquifolium</t>
  </si>
  <si>
    <t>Hedera helix subsp. helix</t>
  </si>
  <si>
    <t>Vincetoxicum hirundinaria</t>
  </si>
  <si>
    <t>Vincetoxicum nigrum</t>
  </si>
  <si>
    <t>Polystichum setiferum</t>
  </si>
  <si>
    <t>Asplenium ruta-muraria subsp. ruta-muraria</t>
  </si>
  <si>
    <t>Corylus avellana</t>
  </si>
  <si>
    <t>Blechnum spicant subsp. spicant</t>
  </si>
  <si>
    <t>Glandora diffusa</t>
  </si>
  <si>
    <t>Myosotis arvensis subsp. arvensis</t>
  </si>
  <si>
    <t>Pulmonaria longifolia</t>
  </si>
  <si>
    <t>Symphytum tuberosum subsp. tuberosum</t>
  </si>
  <si>
    <t>Campanula rapunculus</t>
  </si>
  <si>
    <t>Jasione montana</t>
  </si>
  <si>
    <t>Phyteuma orbiculare</t>
  </si>
  <si>
    <t>Lonicera etrusca</t>
  </si>
  <si>
    <t>Lonicera xylosteum</t>
  </si>
  <si>
    <t>Sambucus nigra subsp. nigra</t>
  </si>
  <si>
    <t>Viburnum lantana</t>
  </si>
  <si>
    <t>Arenaria montana subsp. montana</t>
  </si>
  <si>
    <t>Cerastium glomeratum</t>
  </si>
  <si>
    <t>Dianthus pungens subsp. brachyantus</t>
  </si>
  <si>
    <t>Moehringia trinervia</t>
  </si>
  <si>
    <t>Silene nutans subsp. nutans</t>
  </si>
  <si>
    <t>Stellaria holostea</t>
  </si>
  <si>
    <t>Cistus salviifolius</t>
  </si>
  <si>
    <t>Fumana procumbens</t>
  </si>
  <si>
    <t>Helianthemum nummularium</t>
  </si>
  <si>
    <t>Helianthemum oelandicum subsp. incanum</t>
  </si>
  <si>
    <t>Helianthemum violaceum</t>
  </si>
  <si>
    <t>Achillea millefolium</t>
  </si>
  <si>
    <t>Bellis perennis</t>
  </si>
  <si>
    <t>Bellis sylvestris</t>
  </si>
  <si>
    <t>Carduncellus mitissimus</t>
  </si>
  <si>
    <t>Cirsium heterophyllum</t>
  </si>
  <si>
    <t>Helichrysum stoechas subsp. stoechas</t>
  </si>
  <si>
    <t>Hieracium prenanthoides</t>
  </si>
  <si>
    <t>Klasea nudicaulis</t>
  </si>
  <si>
    <t>Lactuca perennis</t>
  </si>
  <si>
    <t>Leucanthemum vulgare subsp. eliasii</t>
  </si>
  <si>
    <t>Pilosella officinarum</t>
  </si>
  <si>
    <t>Xeranthemum inapertum</t>
  </si>
  <si>
    <t>Convolvulus cantabrica</t>
  </si>
  <si>
    <t>Sedum forsterianum</t>
  </si>
  <si>
    <t>Alliaria petiolata</t>
  </si>
  <si>
    <t>Biscutella valentina subsp. pyrenaica</t>
  </si>
  <si>
    <t>Erucastrum nasturtiifolium subsp. nasturtiifolium</t>
  </si>
  <si>
    <t>Juniperus communis subsp. communis</t>
  </si>
  <si>
    <t>Juniperus oxycedrus</t>
  </si>
  <si>
    <t>Juniperus phoenicea subps. phoenicea</t>
  </si>
  <si>
    <t>Carex flacca</t>
  </si>
  <si>
    <t>Carex hallerana</t>
  </si>
  <si>
    <t>Carex remota</t>
  </si>
  <si>
    <t>Carex sylvatica subsp. sylvatica</t>
  </si>
  <si>
    <t>Tamus communis</t>
  </si>
  <si>
    <t>Knautia nevadensis</t>
  </si>
  <si>
    <t>Daboecia cantabrica</t>
  </si>
  <si>
    <t>Erica arborea</t>
  </si>
  <si>
    <t>Erica cinerea</t>
  </si>
  <si>
    <t>Erica vagans</t>
  </si>
  <si>
    <t>Euphorbia amygdaloides subsp. amygdaloides</t>
  </si>
  <si>
    <t>Euphorbia angulata</t>
  </si>
  <si>
    <t>Euphorbia exigua subsp. exigua</t>
  </si>
  <si>
    <t>Euphorbia hyberna subsp. hyberna</t>
  </si>
  <si>
    <t>Euphorbia polygalifolia subsp. polygalifolia</t>
  </si>
  <si>
    <t>Euphorbia segetalis</t>
  </si>
  <si>
    <t>Euphorbia villosa</t>
  </si>
  <si>
    <t>Fagus sylvatica</t>
  </si>
  <si>
    <t>Quercus faginea subsp. faginea</t>
  </si>
  <si>
    <t>Quercus ilex subsp. ballota</t>
  </si>
  <si>
    <t>Quercus pyrenaica</t>
  </si>
  <si>
    <t>Quercus robur</t>
  </si>
  <si>
    <t>Geranium robertianum</t>
  </si>
  <si>
    <t>Geranium rotundifolium</t>
  </si>
  <si>
    <t>Globularia vulgaris</t>
  </si>
  <si>
    <t>Agrostis curtisii</t>
  </si>
  <si>
    <t>Aira caryophyllea</t>
  </si>
  <si>
    <t>Arrhenatherum elatius</t>
  </si>
  <si>
    <t>Avenula pratensis subsp. iberica</t>
  </si>
  <si>
    <t>Avenula sulcata subsp. sulcata</t>
  </si>
  <si>
    <t>Briza media subsp. media</t>
  </si>
  <si>
    <t>Bromus erectus subsp. erectus</t>
  </si>
  <si>
    <t>Cynosurus echinatus</t>
  </si>
  <si>
    <t>Dactylis glomerata subsp. glomerata</t>
  </si>
  <si>
    <t>Deschampsia flexuosa</t>
  </si>
  <si>
    <t>Festuca paniculata</t>
  </si>
  <si>
    <t>Festuca rubra subsp. rubra</t>
  </si>
  <si>
    <t xml:space="preserve">Festuca </t>
  </si>
  <si>
    <t>Koeleria vallesiana</t>
  </si>
  <si>
    <t>Melica uniflora</t>
  </si>
  <si>
    <t>Phleum pratense</t>
  </si>
  <si>
    <t>Poa trivialis</t>
  </si>
  <si>
    <t>Pseudoarrhenatherum longifolium</t>
  </si>
  <si>
    <t>Sesleria argentea</t>
  </si>
  <si>
    <t>Hypericum hirsutum</t>
  </si>
  <si>
    <t>Hypericum pulchrum</t>
  </si>
  <si>
    <t>Juncus conglomeratus</t>
  </si>
  <si>
    <t>Luzula forsteri subsp. forsteri</t>
  </si>
  <si>
    <t>Luzula sylvatica subsp. sylvatica</t>
  </si>
  <si>
    <t>Acinos alpinus</t>
  </si>
  <si>
    <t>Ajuga reptans</t>
  </si>
  <si>
    <t>Lamium galeobdolon subsp. montanum</t>
  </si>
  <si>
    <t>Lamium maculatum</t>
  </si>
  <si>
    <t>Melittis melissophyllum</t>
  </si>
  <si>
    <t>Nepeta nepetella</t>
  </si>
  <si>
    <t>Prunella laciniata</t>
  </si>
  <si>
    <t>Prunella vulgaris</t>
  </si>
  <si>
    <t>Stachys officinalis</t>
  </si>
  <si>
    <t>Thymus praecox subsp. britannicus</t>
  </si>
  <si>
    <t>Anthyllis vulneraria subsp. gandogeri</t>
  </si>
  <si>
    <t>Argyrolobium zanonii subsp. zanonii</t>
  </si>
  <si>
    <t>Bituminaria bituminosa</t>
  </si>
  <si>
    <t>Chamaespartium sagittale</t>
  </si>
  <si>
    <t>Coronilla minima subsp. lotoides</t>
  </si>
  <si>
    <t>Coronilla minima subsp. minima</t>
  </si>
  <si>
    <t>Cytisus cantabricus</t>
  </si>
  <si>
    <t>Dorycnium pentaphyllum</t>
  </si>
  <si>
    <t>Genista anglica</t>
  </si>
  <si>
    <t>Genista florida</t>
  </si>
  <si>
    <t>Genista hispanica subsp. occidentalis</t>
  </si>
  <si>
    <t>Genista scorpius</t>
  </si>
  <si>
    <t>Lathyrus filiformis</t>
  </si>
  <si>
    <t>Lathyrus linifolius</t>
  </si>
  <si>
    <t>Lathyrus niger</t>
  </si>
  <si>
    <t>Lathyrus nudicaulis</t>
  </si>
  <si>
    <t>Lathyrus sphaericus</t>
  </si>
  <si>
    <t>Lotus corniculatus subsp. carpetanus</t>
  </si>
  <si>
    <t>Lotus corniculatus subsp. corniculatus</t>
  </si>
  <si>
    <t>Onobrychis supina</t>
  </si>
  <si>
    <t>Ononis pusilla subsp. pusilla</t>
  </si>
  <si>
    <t>Ononis spinosa subsp. spinosa</t>
  </si>
  <si>
    <t>Tetragonolobus maritimus</t>
  </si>
  <si>
    <t>Trifolium pratense subsp. pratense</t>
  </si>
  <si>
    <t>Trifolium repens</t>
  </si>
  <si>
    <t>Ulex gallii subsp. gallii</t>
  </si>
  <si>
    <t>Vicia cracca</t>
  </si>
  <si>
    <t>Vicia lutea subsp. lutea</t>
  </si>
  <si>
    <t>Vicia sativa subsp. sativa</t>
  </si>
  <si>
    <t>Vicia sepium</t>
  </si>
  <si>
    <t>Anthericum liliago subsp. liliago</t>
  </si>
  <si>
    <t>Aphyllanthes monspeliensis</t>
  </si>
  <si>
    <t>Asphodelus albus subsp. albus</t>
  </si>
  <si>
    <t>Lilium martagon</t>
  </si>
  <si>
    <t>Merendera montana</t>
  </si>
  <si>
    <t>Muscari neglectum</t>
  </si>
  <si>
    <t>Polygonatum multiflorum</t>
  </si>
  <si>
    <t>Ruscus aculeatus</t>
  </si>
  <si>
    <t>Scilla autumnalis</t>
  </si>
  <si>
    <t>Scilla lilio-hyacinthus</t>
  </si>
  <si>
    <t>Simethis mattiazzii</t>
  </si>
  <si>
    <t>Linum narbonense</t>
  </si>
  <si>
    <t>Linum suffruticosum subsp. appresum</t>
  </si>
  <si>
    <t>Ligustrum vulgare</t>
  </si>
  <si>
    <t>Serapias lingua</t>
  </si>
  <si>
    <t>Oxalis acetosella subsp. acetosella</t>
  </si>
  <si>
    <t>Ceratocapnos claviculata</t>
  </si>
  <si>
    <t>Polygala vulgaris</t>
  </si>
  <si>
    <t>Rumex acetosa subsp. acetosa</t>
  </si>
  <si>
    <t>Polypodium vulgare</t>
  </si>
  <si>
    <t>Asterolinon linum-stellatum</t>
  </si>
  <si>
    <t>Coris monspeliensis subsp. monspeliensis</t>
  </si>
  <si>
    <t>Lysimachia nemorum</t>
  </si>
  <si>
    <t>Primula veris subsp. columnae</t>
  </si>
  <si>
    <t>Anemone nemorosa</t>
  </si>
  <si>
    <t>Aquilegia vulgaris subsp. vulgaris</t>
  </si>
  <si>
    <t>Helleborus foetidus</t>
  </si>
  <si>
    <t>Helleborus viridis subsp. occidentalis</t>
  </si>
  <si>
    <t>Hepatica nobilis</t>
  </si>
  <si>
    <t>Ranunculus bulbosus subsp. bulbosus</t>
  </si>
  <si>
    <t>Ranunculus tuberosus</t>
  </si>
  <si>
    <t>Thalictrum tuberosum</t>
  </si>
  <si>
    <t>Frangula alnus subsp. alnus</t>
  </si>
  <si>
    <t>Rhamnus alaternus subsp. alaternus</t>
  </si>
  <si>
    <t>Amelanchier ovalis</t>
  </si>
  <si>
    <t>Crataegus monogyna</t>
  </si>
  <si>
    <t>Filipendula vulgaris</t>
  </si>
  <si>
    <t>Geum hispidum</t>
  </si>
  <si>
    <t>Geum pyrenaicum</t>
  </si>
  <si>
    <t>Potentilla erecta</t>
  </si>
  <si>
    <t>Potentilla montana</t>
  </si>
  <si>
    <t>Pyrus cordata</t>
  </si>
  <si>
    <t>Rosa pendulina</t>
  </si>
  <si>
    <t>Rosa pimpinellifolia</t>
  </si>
  <si>
    <t>Rubus caesius</t>
  </si>
  <si>
    <t>Rubus canescens</t>
  </si>
  <si>
    <t>Sorbus  aria</t>
  </si>
  <si>
    <t>Sorbus  aucuparia</t>
  </si>
  <si>
    <t>Spiraea hypericifolia subsp. obovata</t>
  </si>
  <si>
    <t>Crucianella angustifolia</t>
  </si>
  <si>
    <t>Cruciata glabra subsp. glabra</t>
  </si>
  <si>
    <t>Galium aparine subsp. aparine</t>
  </si>
  <si>
    <t>Galium mollugo subsp. mollugo</t>
  </si>
  <si>
    <t>Galium odoratum</t>
  </si>
  <si>
    <t>Galium saxatile</t>
  </si>
  <si>
    <t>Rubia peregrina</t>
  </si>
  <si>
    <t>Populus tremula</t>
  </si>
  <si>
    <t>Salix atrocinerea</t>
  </si>
  <si>
    <t>Chaenorhinum origanifolium subsp. origanifolium</t>
  </si>
  <si>
    <t>Erinus alpinus</t>
  </si>
  <si>
    <t>Linaria propinqua</t>
  </si>
  <si>
    <t>Melampyrum pratense subsp. pratense</t>
  </si>
  <si>
    <t>Veronica chamaedrys subsp. chamaedrys</t>
  </si>
  <si>
    <t>Veronica hederifolia</t>
  </si>
  <si>
    <t>Veronica montana</t>
  </si>
  <si>
    <t>Veronica officinalis</t>
  </si>
  <si>
    <t>Veronica ponae</t>
  </si>
  <si>
    <t>Veronica serpyllifolia subsp. serpyllifolia</t>
  </si>
  <si>
    <t>Daphne laureola</t>
  </si>
  <si>
    <t>Bupleurum rigidum subsp. rigidum</t>
  </si>
  <si>
    <t>Conopodium pyrenaeum</t>
  </si>
  <si>
    <t>Sanicula europaea</t>
  </si>
  <si>
    <t>Thapsia villosa</t>
  </si>
  <si>
    <t>Urtica dioica</t>
  </si>
  <si>
    <t>Viola riviniana</t>
  </si>
  <si>
    <t>Viscum album subsp. album</t>
  </si>
  <si>
    <t>Taxon</t>
  </si>
  <si>
    <t>Subject</t>
  </si>
  <si>
    <t>Bases de datos de plantas de Valdebezana, herbario de Javier Galán</t>
  </si>
  <si>
    <t>Message</t>
  </si>
  <si>
    <t>Hola, Me llamo Javier Galán, os conocí a través de vuestra charla en el congreso de la SEBOT. Enhorabuena por el proyecto. Hace unos años realicé unos inventarios de vegetación en los bosques del Valle de Valdebezana junto con Mercedes García de la UAM, como resultado publicamos este artículo: http://www.floramontiberica.org/fm/071/Flora_Montib_071_061-084_2018.pdf Siempre he querido publicar estos datos en algún sitio donde puedan ser útiles para otros investigadores. Ahora mismo los tengo en researchgate pero apenas tienen visibilidad, y no he podido publicarlos en GBIF porque mi organización (Estación Biológica de Doñana) sólo tiene colecciones animales. Os envío la base de datos tal como la tenemos ahora mismo, incluyendo solo entradas para las cuales recogimos especímenes los cuales tenemos en nuestro herbario. ¿Podríais incluirlos en vuestra base de datos? Un saludo, Javier</t>
  </si>
  <si>
    <t>Hedera helix helix</t>
  </si>
  <si>
    <t>Asplenium ruta-muraria ruta-muraria</t>
  </si>
  <si>
    <t>Blechnum spicant spicant</t>
  </si>
  <si>
    <t>Myosotis arvensis arvensis</t>
  </si>
  <si>
    <t>Symphytum tuberosum tuberosum</t>
  </si>
  <si>
    <t>Sambucus nigra nigra</t>
  </si>
  <si>
    <t>Arenaria montana montana</t>
  </si>
  <si>
    <t>Dianthus pungens brachyantus</t>
  </si>
  <si>
    <t>Silene nutans nutans</t>
  </si>
  <si>
    <t>Helianthemum oelandicum incanum</t>
  </si>
  <si>
    <t>Helichrysum stoechas stoechas</t>
  </si>
  <si>
    <t>Leucanthemum vulgare eliasii</t>
  </si>
  <si>
    <t>Biscutella valentina pyrenaica</t>
  </si>
  <si>
    <t>Erucastrum nasturtiifolium nasturtiifolium</t>
  </si>
  <si>
    <t>Juniperus communis communis</t>
  </si>
  <si>
    <t>Carex sylvatica sylvatica</t>
  </si>
  <si>
    <t>Euphorbia amygdaloides amygdaloides</t>
  </si>
  <si>
    <t>Euphorbia exigua exigua</t>
  </si>
  <si>
    <t>Euphorbia hyberna hyberna</t>
  </si>
  <si>
    <t>Euphorbia polygalifolia polygalifolia</t>
  </si>
  <si>
    <t>Quercus faginea faginea</t>
  </si>
  <si>
    <t>Quercus ilex ballota</t>
  </si>
  <si>
    <t>Avenula pratensis iberica</t>
  </si>
  <si>
    <t>Avenula sulcata sulcata</t>
  </si>
  <si>
    <t>Briza media media</t>
  </si>
  <si>
    <t>Bromus erectus erectus</t>
  </si>
  <si>
    <t>Dactylis glomerata glomerata</t>
  </si>
  <si>
    <t>Festuca rubra rubra</t>
  </si>
  <si>
    <t>Luzula forsteri forsteri</t>
  </si>
  <si>
    <t>Luzula sylvatica sylvatica</t>
  </si>
  <si>
    <t>Lamium galeobdolon montanum</t>
  </si>
  <si>
    <t>Thymus praecox britannicus</t>
  </si>
  <si>
    <t>Anthyllis vulneraria gandogeri</t>
  </si>
  <si>
    <t>Argyrolobium zanonii zanonii</t>
  </si>
  <si>
    <t>Coronilla minima lotoides</t>
  </si>
  <si>
    <t>Coronilla minima minima</t>
  </si>
  <si>
    <t>Genista hispanica occidentalis</t>
  </si>
  <si>
    <t>Lotus corniculatus carpetanus</t>
  </si>
  <si>
    <t>Lotus corniculatus corniculatus</t>
  </si>
  <si>
    <t>Ononis pusilla pusilla</t>
  </si>
  <si>
    <t>Ononis spinosa spinosa</t>
  </si>
  <si>
    <t>Trifolium pratense pratense</t>
  </si>
  <si>
    <t>Ulex gallii gallii</t>
  </si>
  <si>
    <t>Vicia lutea lutea</t>
  </si>
  <si>
    <t>Vicia sativa sativa</t>
  </si>
  <si>
    <t>Anthericum liliago liliago</t>
  </si>
  <si>
    <t>Asphodelus albus albus</t>
  </si>
  <si>
    <t>Linum suffruticosum appresum</t>
  </si>
  <si>
    <t>Oxalis acetosella acetosella</t>
  </si>
  <si>
    <t>Rumex acetosa acetosa</t>
  </si>
  <si>
    <t>Coris monspeliensis monspeliensis</t>
  </si>
  <si>
    <t>Primula veris columnae</t>
  </si>
  <si>
    <t>Aquilegia vulgaris vulgaris</t>
  </si>
  <si>
    <t>Helleborus viridis occidentalis</t>
  </si>
  <si>
    <t>Ranunculus bulbosus bulbosus</t>
  </si>
  <si>
    <t>Frangula alnus alnus</t>
  </si>
  <si>
    <t>Rhamnus alaternus alaternus</t>
  </si>
  <si>
    <t>Spiraea hypericifolia obovata</t>
  </si>
  <si>
    <t>Cruciata glabra glabra</t>
  </si>
  <si>
    <t>Galium aparine aparine</t>
  </si>
  <si>
    <t>Galium mollugo mollugo</t>
  </si>
  <si>
    <t>Chaenorhinum origanifolium origanifolium</t>
  </si>
  <si>
    <t>Melampyrum pratense pratense</t>
  </si>
  <si>
    <t>Veronica chamaedrys chamaedrys</t>
  </si>
  <si>
    <t>Veronica serpyllifolia serpyllifolia</t>
  </si>
  <si>
    <t>Bupleurum rigidum rigidum</t>
  </si>
  <si>
    <t>Viscum album album</t>
  </si>
  <si>
    <t>MGRS_orig</t>
  </si>
  <si>
    <t>UTM1x1</t>
  </si>
  <si>
    <t>UTM10x10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</si>
</sst>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d\-m\-yy;@"/>
  </numFmts>
  <fonts count="13" x14ac:knownFonts="1">
    <font>
      <sz val="11"/>
      <color theme="1"/>
      <name val="Calibri"/>
      <family val="2"/>
      <scheme val="minor"/>
    </font>
    <font>
      <sz val="12"/>
      <name val="Times New Roman"/>
      <family val="1"/>
    </font>
    <font>
      <b/>
      <sz val="9"/>
      <color indexed="81"/>
      <name val="Tahoma"/>
      <family val="2"/>
    </font>
    <font>
      <sz val="11"/>
      <color theme="1"/>
      <name val="Times New Roman"/>
      <family val="1"/>
    </font>
    <font>
      <i/>
      <sz val="11"/>
      <name val="Times New Roman"/>
      <family val="1"/>
    </font>
    <font>
      <sz val="11"/>
      <name val="Times New Roman"/>
      <family val="1"/>
    </font>
    <font>
      <i/>
      <sz val="8"/>
      <name val="Times New Roman"/>
      <family val="1"/>
    </font>
    <font>
      <sz val="8"/>
      <name val="Times New Roman"/>
      <family val="1"/>
    </font>
    <font>
      <sz val="11"/>
      <color rgb="FF050608"/>
      <name val="Times New Roman"/>
      <family val="1"/>
    </font>
    <font>
      <sz val="12"/>
      <color rgb="FF222222"/>
      <name val="Arial"/>
      <family val="2"/>
    </font>
    <font>
      <b/>
      <sz val="11"/>
      <color rgb="FF000000"/>
      <name val="Arial"/>
      <family val="2"/>
    </font>
    <font>
      <sz val="11"/>
      <color rgb="FF222222"/>
      <name val="Arial"/>
      <family val="2"/>
    </font>
    <font>
      <u/>
      <sz val="11"/>
      <color theme="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FFFF"/>
        <bgColor indexed="64"/>
      </patternFill>
    </fill>
    <fill>
      <patternFill patternType="solid">
        <fgColor rgb="FFDFDFDF"/>
        <bgColor indexed="64"/>
      </patternFill>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51">
    <xf numFmtId="0" fontId="0" fillId="0" borderId="0" xfId="0"/>
    <xf numFmtId="14" fontId="1" fillId="0" borderId="0" xfId="0" applyNumberFormat="1" applyFont="1"/>
    <xf numFmtId="14" fontId="1" fillId="3" borderId="0" xfId="0" applyNumberFormat="1" applyFont="1" applyFill="1"/>
    <xf numFmtId="0" fontId="3" fillId="0" borderId="0" xfId="0" applyFont="1"/>
    <xf numFmtId="1" fontId="4" fillId="0" borderId="0" xfId="0" applyNumberFormat="1" applyFont="1" applyAlignment="1">
      <alignment horizontal="left"/>
    </xf>
    <xf numFmtId="1" fontId="4" fillId="0" borderId="0" xfId="0" applyNumberFormat="1" applyFont="1"/>
    <xf numFmtId="164" fontId="4" fillId="0" borderId="0" xfId="0" applyNumberFormat="1" applyFont="1"/>
    <xf numFmtId="0" fontId="5" fillId="0" borderId="0" xfId="0" applyFont="1"/>
    <xf numFmtId="49" fontId="4" fillId="0" borderId="0" xfId="0" applyNumberFormat="1" applyFont="1"/>
    <xf numFmtId="0" fontId="6" fillId="0" borderId="0" xfId="0" applyFont="1"/>
    <xf numFmtId="0" fontId="4" fillId="0" borderId="0" xfId="0" applyFont="1"/>
    <xf numFmtId="1" fontId="5" fillId="0" borderId="0" xfId="0" applyNumberFormat="1" applyFont="1" applyAlignment="1">
      <alignment horizontal="left"/>
    </xf>
    <xf numFmtId="1" fontId="5" fillId="0" borderId="0" xfId="0" applyNumberFormat="1" applyFont="1"/>
    <xf numFmtId="164" fontId="5" fillId="0" borderId="0" xfId="0" applyNumberFormat="1" applyFont="1"/>
    <xf numFmtId="49" fontId="5" fillId="0" borderId="0" xfId="0" applyNumberFormat="1" applyFont="1"/>
    <xf numFmtId="0" fontId="7" fillId="0" borderId="0" xfId="0" applyFont="1"/>
    <xf numFmtId="49" fontId="7" fillId="0" borderId="0" xfId="0" applyNumberFormat="1" applyFont="1"/>
    <xf numFmtId="1" fontId="5" fillId="0" borderId="0" xfId="0" applyNumberFormat="1" applyFont="1" applyAlignment="1">
      <alignment vertical="center"/>
    </xf>
    <xf numFmtId="49" fontId="4" fillId="0" borderId="0" xfId="0" applyNumberFormat="1" applyFont="1" applyAlignment="1">
      <alignment vertical="center"/>
    </xf>
    <xf numFmtId="49" fontId="5" fillId="0" borderId="0" xfId="0" applyNumberFormat="1" applyFont="1" applyAlignment="1">
      <alignment vertical="center"/>
    </xf>
    <xf numFmtId="1" fontId="4" fillId="0" borderId="0" xfId="0" applyNumberFormat="1" applyFont="1" applyAlignment="1">
      <alignment vertical="center"/>
    </xf>
    <xf numFmtId="1" fontId="5" fillId="0" borderId="0" xfId="0" applyNumberFormat="1" applyFont="1" applyAlignment="1">
      <alignment horizontal="left" vertical="center"/>
    </xf>
    <xf numFmtId="49" fontId="6" fillId="0" borderId="0" xfId="0" applyNumberFormat="1" applyFont="1"/>
    <xf numFmtId="1" fontId="4" fillId="0" borderId="0" xfId="0" applyNumberFormat="1" applyFont="1" applyAlignment="1">
      <alignment horizontal="left" vertical="center"/>
    </xf>
    <xf numFmtId="1" fontId="5" fillId="3" borderId="0" xfId="0" applyNumberFormat="1" applyFont="1" applyFill="1" applyAlignment="1">
      <alignment horizontal="left"/>
    </xf>
    <xf numFmtId="1" fontId="5" fillId="3" borderId="0" xfId="0" applyNumberFormat="1" applyFont="1" applyFill="1" applyAlignment="1">
      <alignment horizontal="left" vertical="center"/>
    </xf>
    <xf numFmtId="1" fontId="5" fillId="3" borderId="0" xfId="0" applyNumberFormat="1" applyFont="1" applyFill="1"/>
    <xf numFmtId="164" fontId="5" fillId="3" borderId="0" xfId="0" applyNumberFormat="1" applyFont="1" applyFill="1"/>
    <xf numFmtId="0" fontId="5" fillId="3" borderId="0" xfId="0" applyFont="1" applyFill="1"/>
    <xf numFmtId="49" fontId="5" fillId="3" borderId="0" xfId="0" applyNumberFormat="1" applyFont="1" applyFill="1" applyAlignment="1">
      <alignment vertical="center"/>
    </xf>
    <xf numFmtId="49" fontId="5" fillId="3" borderId="0" xfId="0" applyNumberFormat="1" applyFont="1" applyFill="1"/>
    <xf numFmtId="0" fontId="7" fillId="3" borderId="0" xfId="0" applyFont="1" applyFill="1"/>
    <xf numFmtId="49" fontId="5" fillId="0" borderId="0" xfId="0" applyNumberFormat="1" applyFont="1" applyAlignment="1">
      <alignment horizontal="left" vertical="center"/>
    </xf>
    <xf numFmtId="49" fontId="4" fillId="0" borderId="0" xfId="0" applyNumberFormat="1" applyFont="1" applyAlignment="1">
      <alignment horizontal="left"/>
    </xf>
    <xf numFmtId="0" fontId="6" fillId="0" borderId="0" xfId="0" applyFont="1" applyAlignment="1">
      <alignment horizontal="center"/>
    </xf>
    <xf numFmtId="49" fontId="5" fillId="0" borderId="0" xfId="0" applyNumberFormat="1" applyFont="1" applyAlignment="1">
      <alignment horizontal="left"/>
    </xf>
    <xf numFmtId="1" fontId="7" fillId="0" borderId="0" xfId="0" applyNumberFormat="1" applyFont="1"/>
    <xf numFmtId="1" fontId="5" fillId="2" borderId="0" xfId="0" applyNumberFormat="1" applyFont="1" applyFill="1" applyAlignment="1">
      <alignment horizontal="left"/>
    </xf>
    <xf numFmtId="1" fontId="5" fillId="2" borderId="0" xfId="0" applyNumberFormat="1" applyFont="1" applyFill="1"/>
    <xf numFmtId="0" fontId="5" fillId="2" borderId="0" xfId="0" applyFont="1" applyFill="1"/>
    <xf numFmtId="164" fontId="5" fillId="2" borderId="0" xfId="0" applyNumberFormat="1" applyFont="1" applyFill="1"/>
    <xf numFmtId="165" fontId="5" fillId="2" borderId="0" xfId="0" applyNumberFormat="1" applyFont="1" applyFill="1"/>
    <xf numFmtId="14" fontId="1" fillId="2" borderId="0" xfId="0" applyNumberFormat="1" applyFont="1" applyFill="1"/>
    <xf numFmtId="49" fontId="5" fillId="2" borderId="0" xfId="0" applyNumberFormat="1" applyFont="1" applyFill="1"/>
    <xf numFmtId="0" fontId="8" fillId="0" borderId="0" xfId="0" applyFont="1"/>
    <xf numFmtId="0" fontId="8" fillId="3" borderId="0" xfId="0" applyFont="1" applyFill="1"/>
    <xf numFmtId="0" fontId="10" fillId="4" borderId="0" xfId="0" applyFont="1" applyFill="1" applyAlignment="1">
      <alignment horizontal="left" vertical="center" wrapText="1" indent="1"/>
    </xf>
    <xf numFmtId="0" fontId="9" fillId="4" borderId="0" xfId="0" applyFont="1" applyFill="1" applyAlignment="1">
      <alignment vertical="center" wrapText="1"/>
    </xf>
    <xf numFmtId="0" fontId="11" fillId="4" borderId="0" xfId="0" applyFont="1" applyFill="1" applyAlignment="1">
      <alignment horizontal="left" vertical="center" wrapText="1" indent="1"/>
    </xf>
    <xf numFmtId="0" fontId="9" fillId="5" borderId="0" xfId="0" applyFont="1" applyFill="1" applyAlignment="1">
      <alignment vertical="center" wrapText="1"/>
    </xf>
    <xf numFmtId="0" fontId="12" fillId="4" borderId="0" xfId="1" applyFill="1" applyAlignment="1">
      <alignment horizontal="left" vertical="center" wrapText="1" inden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floramontiberica.org/fm/071/Flora_Montib_071_061-084_2018.pdf"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B4" sqref="B4"/>
    </sheetView>
  </sheetViews>
  <sheetFormatPr baseColWidth="10" defaultRowHeight="14.4" x14ac:dyDescent="0.3"/>
  <cols>
    <col min="1" max="1" width="35.33203125" bestFit="1" customWidth="1"/>
  </cols>
  <sheetData>
    <row r="1" spans="1:1" x14ac:dyDescent="0.3">
      <c r="A1" s="46" t="s">
        <v>1559</v>
      </c>
    </row>
    <row r="2" spans="1:1" ht="15" x14ac:dyDescent="0.3">
      <c r="A2" s="47"/>
    </row>
    <row r="3" spans="1:1" ht="41.4" x14ac:dyDescent="0.3">
      <c r="A3" s="48" t="s">
        <v>1560</v>
      </c>
    </row>
    <row r="4" spans="1:1" ht="15" x14ac:dyDescent="0.3">
      <c r="A4" s="47"/>
    </row>
    <row r="5" spans="1:1" ht="15" x14ac:dyDescent="0.3">
      <c r="A5" s="49"/>
    </row>
    <row r="6" spans="1:1" ht="15" x14ac:dyDescent="0.3">
      <c r="A6" s="47"/>
    </row>
    <row r="7" spans="1:1" x14ac:dyDescent="0.3">
      <c r="A7" s="46" t="s">
        <v>1561</v>
      </c>
    </row>
    <row r="8" spans="1:1" ht="15" x14ac:dyDescent="0.3">
      <c r="A8" s="47"/>
    </row>
    <row r="9" spans="1:1" ht="360" x14ac:dyDescent="0.3">
      <c r="A9" s="50" t="s">
        <v>1562</v>
      </c>
    </row>
  </sheetData>
  <hyperlinks>
    <hyperlink ref="A9" r:id="rId1" display="http://www.floramontiberica.org/fm/071/Flora_Montib_071_061-084_2018.pdf" xr:uid="{00000000-0004-0000-0000-000000000000}"/>
  </hyperlinks>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11"/>
  <sheetViews>
    <sheetView topLeftCell="I387" workbookViewId="0">
      <selection sqref="A1:M411"/>
    </sheetView>
  </sheetViews>
  <sheetFormatPr baseColWidth="10" defaultColWidth="9.109375" defaultRowHeight="13.8" x14ac:dyDescent="0.25"/>
  <cols>
    <col min="1" max="1" width="46" style="3" bestFit="1" customWidth="1"/>
    <col min="2" max="2" width="13.44140625" style="3" bestFit="1" customWidth="1"/>
    <col min="3" max="3" width="57.6640625" style="3" bestFit="1" customWidth="1"/>
    <col min="4" max="4" width="9.109375" style="3"/>
    <col min="5" max="5" width="6.5546875" style="3" bestFit="1" customWidth="1"/>
    <col min="6" max="6" width="11.88671875" style="3" bestFit="1" customWidth="1"/>
    <col min="7" max="7" width="9.44140625" style="3" bestFit="1" customWidth="1"/>
    <col min="8" max="8" width="89.88671875" style="3" bestFit="1" customWidth="1"/>
    <col min="9" max="9" width="16.6640625" style="3" bestFit="1" customWidth="1"/>
    <col min="10" max="10" width="21.33203125" style="3" bestFit="1" customWidth="1"/>
    <col min="11" max="11" width="34.6640625" style="3" bestFit="1" customWidth="1"/>
    <col min="12" max="12" width="45.88671875" style="3" bestFit="1" customWidth="1"/>
    <col min="13" max="13" width="46" style="3" bestFit="1" customWidth="1"/>
    <col min="14" max="16384" width="9.109375" style="3"/>
  </cols>
  <sheetData>
    <row r="1" spans="1:13" ht="15.6" x14ac:dyDescent="0.3">
      <c r="A1" s="37" t="s">
        <v>1558</v>
      </c>
      <c r="B1" s="38" t="s">
        <v>1</v>
      </c>
      <c r="C1" s="39" t="s">
        <v>2</v>
      </c>
      <c r="D1" s="38" t="s">
        <v>0</v>
      </c>
      <c r="E1" s="38" t="s">
        <v>3</v>
      </c>
      <c r="F1" s="40" t="s">
        <v>4</v>
      </c>
      <c r="G1" s="41" t="s">
        <v>5</v>
      </c>
      <c r="H1" s="42" t="s">
        <v>6</v>
      </c>
      <c r="I1" s="43" t="s">
        <v>7</v>
      </c>
      <c r="J1" s="43" t="s">
        <v>8</v>
      </c>
      <c r="K1" s="43" t="s">
        <v>9</v>
      </c>
      <c r="L1" s="39" t="s">
        <v>10</v>
      </c>
      <c r="M1" s="39" t="s">
        <v>11</v>
      </c>
    </row>
    <row r="2" spans="1:13" ht="15.6" x14ac:dyDescent="0.3">
      <c r="A2" s="4" t="s">
        <v>1340</v>
      </c>
      <c r="B2" s="44" t="s">
        <v>13</v>
      </c>
      <c r="C2" s="5" t="s">
        <v>14</v>
      </c>
      <c r="D2" s="5" t="s">
        <v>12</v>
      </c>
      <c r="E2" s="5" t="s">
        <v>15</v>
      </c>
      <c r="F2" s="6">
        <v>41748</v>
      </c>
      <c r="G2" s="7" t="s">
        <v>16</v>
      </c>
      <c r="H2" s="1" t="str">
        <f t="shared" ref="H2:H65" si="0">CONCATENATE(B2, ": ", C2, " ", G2, " ", "[", E2, "]")</f>
        <v>30TVN338557: Torres de Abajo. 860 m. 19-4-2014 [JG001]</v>
      </c>
      <c r="I2" s="8" t="s">
        <v>17</v>
      </c>
      <c r="J2" s="8" t="s">
        <v>18</v>
      </c>
      <c r="K2" s="8" t="s">
        <v>19</v>
      </c>
      <c r="L2" s="9"/>
      <c r="M2" s="10" t="str">
        <f t="shared" ref="M2:M65" si="1">CONCATENATE(J2," ",K2)</f>
        <v>Anthoxanthum odoratum</v>
      </c>
    </row>
    <row r="3" spans="1:13" ht="15.6" x14ac:dyDescent="0.3">
      <c r="A3" s="4" t="s">
        <v>1341</v>
      </c>
      <c r="B3" s="44" t="s">
        <v>21</v>
      </c>
      <c r="C3" s="4" t="s">
        <v>22</v>
      </c>
      <c r="D3" s="5" t="s">
        <v>20</v>
      </c>
      <c r="E3" s="5" t="s">
        <v>23</v>
      </c>
      <c r="F3" s="6">
        <v>41799</v>
      </c>
      <c r="G3" s="7" t="s">
        <v>24</v>
      </c>
      <c r="H3" s="1" t="str">
        <f t="shared" si="0"/>
        <v>30TVN383582: San Cibrián. Hayedo, 750 m. 9-6-2014 [JG266]</v>
      </c>
      <c r="I3" s="8" t="s">
        <v>25</v>
      </c>
      <c r="J3" s="8" t="s">
        <v>26</v>
      </c>
      <c r="K3" s="8" t="s">
        <v>27</v>
      </c>
      <c r="L3" s="34"/>
      <c r="M3" s="10" t="str">
        <f t="shared" si="1"/>
        <v>Acer campestre</v>
      </c>
    </row>
    <row r="4" spans="1:13" ht="15.6" x14ac:dyDescent="0.3">
      <c r="A4" s="4" t="s">
        <v>1342</v>
      </c>
      <c r="B4" s="44" t="s">
        <v>29</v>
      </c>
      <c r="C4" s="5" t="s">
        <v>30</v>
      </c>
      <c r="D4" s="5" t="s">
        <v>28</v>
      </c>
      <c r="E4" s="5" t="s">
        <v>31</v>
      </c>
      <c r="F4" s="6">
        <v>41806</v>
      </c>
      <c r="G4" s="7" t="s">
        <v>32</v>
      </c>
      <c r="H4" s="1" t="str">
        <f t="shared" si="0"/>
        <v>30TVN369591: Argomedo. Melojar, 900 m. 16-6-2014 [JG009]</v>
      </c>
      <c r="I4" s="8" t="s">
        <v>25</v>
      </c>
      <c r="J4" s="8" t="s">
        <v>26</v>
      </c>
      <c r="K4" s="8" t="s">
        <v>33</v>
      </c>
      <c r="L4" s="9"/>
      <c r="M4" s="10" t="str">
        <f t="shared" si="1"/>
        <v>Acer pseudoplatanus</v>
      </c>
    </row>
    <row r="5" spans="1:13" ht="15.6" x14ac:dyDescent="0.3">
      <c r="A5" s="11" t="s">
        <v>1343</v>
      </c>
      <c r="B5" s="44" t="s">
        <v>35</v>
      </c>
      <c r="C5" s="11" t="s">
        <v>36</v>
      </c>
      <c r="D5" s="12" t="s">
        <v>34</v>
      </c>
      <c r="E5" s="12" t="s">
        <v>37</v>
      </c>
      <c r="F5" s="13">
        <v>41781</v>
      </c>
      <c r="G5" s="7" t="s">
        <v>38</v>
      </c>
      <c r="H5" s="1" t="str">
        <f t="shared" si="0"/>
        <v>30TVN324545: Cilleruelo de Bezana. Hayedo de Carrales, 962 m. 22-5-2014 [JG212]</v>
      </c>
      <c r="I5" s="14" t="s">
        <v>39</v>
      </c>
      <c r="J5" s="14" t="s">
        <v>40</v>
      </c>
      <c r="K5" s="14" t="s">
        <v>41</v>
      </c>
      <c r="L5" s="15"/>
      <c r="M5" s="7" t="str">
        <f t="shared" si="1"/>
        <v>Ilex aquifolium</v>
      </c>
    </row>
    <row r="6" spans="1:13" ht="15.6" x14ac:dyDescent="0.3">
      <c r="A6" s="11" t="s">
        <v>1344</v>
      </c>
      <c r="B6" s="44" t="s">
        <v>43</v>
      </c>
      <c r="C6" s="11" t="s">
        <v>44</v>
      </c>
      <c r="D6" s="12" t="s">
        <v>42</v>
      </c>
      <c r="E6" s="12" t="s">
        <v>45</v>
      </c>
      <c r="F6" s="13">
        <v>41792</v>
      </c>
      <c r="G6" s="7" t="s">
        <v>46</v>
      </c>
      <c r="H6" s="1" t="str">
        <f t="shared" si="0"/>
        <v>30TVN387579: San Cibrián. Hayedo, 756 m. 2-6-2014 [JG282]</v>
      </c>
      <c r="I6" s="14" t="s">
        <v>47</v>
      </c>
      <c r="J6" s="14" t="s">
        <v>48</v>
      </c>
      <c r="K6" s="14" t="s">
        <v>49</v>
      </c>
      <c r="L6" s="15"/>
      <c r="M6" s="7" t="str">
        <f t="shared" si="1"/>
        <v>Hedera helix subsp. helix</v>
      </c>
    </row>
    <row r="7" spans="1:13" ht="15.6" x14ac:dyDescent="0.3">
      <c r="A7" s="11" t="s">
        <v>1344</v>
      </c>
      <c r="B7" s="44" t="s">
        <v>51</v>
      </c>
      <c r="C7" s="11" t="s">
        <v>52</v>
      </c>
      <c r="D7" s="12" t="s">
        <v>50</v>
      </c>
      <c r="E7" s="12" t="s">
        <v>53</v>
      </c>
      <c r="F7" s="13">
        <v>41799</v>
      </c>
      <c r="G7" s="7" t="s">
        <v>24</v>
      </c>
      <c r="H7" s="1" t="str">
        <f t="shared" si="0"/>
        <v>30TVN391579: San Cibrián. Hayedo, 737 m. 9-6-2014 [JG295]</v>
      </c>
      <c r="I7" s="14" t="s">
        <v>47</v>
      </c>
      <c r="J7" s="14" t="s">
        <v>48</v>
      </c>
      <c r="K7" s="14" t="s">
        <v>49</v>
      </c>
      <c r="L7" s="15"/>
      <c r="M7" s="7" t="str">
        <f t="shared" si="1"/>
        <v>Hedera helix subsp. helix</v>
      </c>
    </row>
    <row r="8" spans="1:13" ht="15.6" x14ac:dyDescent="0.3">
      <c r="A8" s="11" t="s">
        <v>1345</v>
      </c>
      <c r="B8" s="44" t="s">
        <v>55</v>
      </c>
      <c r="C8" s="11" t="s">
        <v>56</v>
      </c>
      <c r="D8" s="12" t="s">
        <v>54</v>
      </c>
      <c r="E8" s="12" t="s">
        <v>57</v>
      </c>
      <c r="F8" s="13">
        <v>41795</v>
      </c>
      <c r="G8" s="7" t="s">
        <v>58</v>
      </c>
      <c r="H8" s="1" t="str">
        <f t="shared" si="0"/>
        <v>30TVN364557: Torres de Abajo. Encinar, 855 m. 5-6-2014 [JG039]</v>
      </c>
      <c r="I8" s="14" t="s">
        <v>59</v>
      </c>
      <c r="J8" s="14" t="s">
        <v>60</v>
      </c>
      <c r="K8" s="14" t="s">
        <v>61</v>
      </c>
      <c r="L8" s="15"/>
      <c r="M8" s="7" t="str">
        <f t="shared" si="1"/>
        <v>Vincetoxicum hirundinaria</v>
      </c>
    </row>
    <row r="9" spans="1:13" ht="15.6" x14ac:dyDescent="0.3">
      <c r="A9" s="11" t="s">
        <v>1345</v>
      </c>
      <c r="B9" s="44" t="s">
        <v>63</v>
      </c>
      <c r="C9" s="11" t="s">
        <v>64</v>
      </c>
      <c r="D9" s="11" t="s">
        <v>62</v>
      </c>
      <c r="E9" s="12" t="s">
        <v>65</v>
      </c>
      <c r="F9" s="13">
        <v>41805</v>
      </c>
      <c r="G9" s="7" t="s">
        <v>66</v>
      </c>
      <c r="H9" s="1" t="str">
        <f t="shared" si="0"/>
        <v>30TVN408533: Cubillos del Rojo. Encinar, 901 m. 15-6-2014 [JG090]</v>
      </c>
      <c r="I9" s="14" t="s">
        <v>59</v>
      </c>
      <c r="J9" s="14" t="s">
        <v>60</v>
      </c>
      <c r="K9" s="14" t="s">
        <v>61</v>
      </c>
      <c r="L9" s="15"/>
      <c r="M9" s="7" t="str">
        <f t="shared" si="1"/>
        <v>Vincetoxicum hirundinaria</v>
      </c>
    </row>
    <row r="10" spans="1:13" ht="15.6" x14ac:dyDescent="0.3">
      <c r="A10" s="11" t="s">
        <v>1345</v>
      </c>
      <c r="B10" s="44" t="s">
        <v>68</v>
      </c>
      <c r="C10" s="11" t="s">
        <v>69</v>
      </c>
      <c r="D10" s="12" t="s">
        <v>67</v>
      </c>
      <c r="E10" s="12" t="s">
        <v>70</v>
      </c>
      <c r="F10" s="13">
        <v>41794</v>
      </c>
      <c r="G10" s="7" t="s">
        <v>71</v>
      </c>
      <c r="H10" s="1" t="str">
        <f t="shared" si="0"/>
        <v>30TVN373545: Hoz de Arreba. Encinar, 829 m. 4-6-2014 [JG115]</v>
      </c>
      <c r="I10" s="14" t="s">
        <v>59</v>
      </c>
      <c r="J10" s="14" t="s">
        <v>60</v>
      </c>
      <c r="K10" s="14" t="s">
        <v>61</v>
      </c>
      <c r="L10" s="15"/>
      <c r="M10" s="7" t="str">
        <f t="shared" si="1"/>
        <v>Vincetoxicum hirundinaria</v>
      </c>
    </row>
    <row r="11" spans="1:13" ht="15.6" x14ac:dyDescent="0.3">
      <c r="A11" s="11" t="s">
        <v>1346</v>
      </c>
      <c r="B11" s="44" t="s">
        <v>73</v>
      </c>
      <c r="C11" s="11" t="s">
        <v>74</v>
      </c>
      <c r="D11" s="12" t="s">
        <v>72</v>
      </c>
      <c r="E11" s="12" t="s">
        <v>75</v>
      </c>
      <c r="F11" s="13">
        <v>41805</v>
      </c>
      <c r="G11" s="7" t="s">
        <v>66</v>
      </c>
      <c r="H11" s="1" t="str">
        <f t="shared" si="0"/>
        <v>30TVN407532: Cubillos del Rojo. Quejigar, 894 m. 15-6-2014 [JG075]</v>
      </c>
      <c r="I11" s="14" t="s">
        <v>59</v>
      </c>
      <c r="J11" s="14" t="s">
        <v>60</v>
      </c>
      <c r="K11" s="14" t="s">
        <v>76</v>
      </c>
      <c r="L11" s="15"/>
      <c r="M11" s="7" t="str">
        <f t="shared" si="1"/>
        <v>Vincetoxicum nigrum</v>
      </c>
    </row>
    <row r="12" spans="1:13" ht="15.6" x14ac:dyDescent="0.3">
      <c r="A12" s="11" t="s">
        <v>1347</v>
      </c>
      <c r="B12" s="44" t="s">
        <v>43</v>
      </c>
      <c r="C12" s="11" t="s">
        <v>44</v>
      </c>
      <c r="D12" s="12" t="s">
        <v>77</v>
      </c>
      <c r="E12" s="12" t="s">
        <v>78</v>
      </c>
      <c r="F12" s="13">
        <v>41792</v>
      </c>
      <c r="G12" s="7" t="s">
        <v>46</v>
      </c>
      <c r="H12" s="1" t="str">
        <f t="shared" si="0"/>
        <v>30TVN387579: San Cibrián. Hayedo, 756 m. 2-6-2014 [JG283]</v>
      </c>
      <c r="I12" s="14" t="s">
        <v>79</v>
      </c>
      <c r="J12" s="14" t="s">
        <v>80</v>
      </c>
      <c r="K12" s="14" t="s">
        <v>81</v>
      </c>
      <c r="L12" s="15"/>
      <c r="M12" s="7" t="str">
        <f t="shared" si="1"/>
        <v>Polystichum setiferum</v>
      </c>
    </row>
    <row r="13" spans="1:13" ht="15.6" x14ac:dyDescent="0.3">
      <c r="A13" s="11" t="s">
        <v>1348</v>
      </c>
      <c r="B13" s="44" t="s">
        <v>83</v>
      </c>
      <c r="C13" s="11" t="s">
        <v>84</v>
      </c>
      <c r="D13" s="12" t="s">
        <v>82</v>
      </c>
      <c r="E13" s="12" t="s">
        <v>85</v>
      </c>
      <c r="F13" s="13">
        <v>41798</v>
      </c>
      <c r="G13" s="7" t="s">
        <v>86</v>
      </c>
      <c r="H13" s="1" t="str">
        <f t="shared" si="0"/>
        <v>30TVN350545: Torres de Abajo. Encinar, 929 m. 8-6-2014 [JG054]</v>
      </c>
      <c r="I13" s="14" t="s">
        <v>87</v>
      </c>
      <c r="J13" s="14" t="s">
        <v>88</v>
      </c>
      <c r="K13" s="14" t="s">
        <v>89</v>
      </c>
      <c r="L13" s="15"/>
      <c r="M13" s="7" t="str">
        <f t="shared" si="1"/>
        <v>Asplenium ruta-muraria subsp. ruta-muraria</v>
      </c>
    </row>
    <row r="14" spans="1:13" ht="15.6" x14ac:dyDescent="0.3">
      <c r="A14" s="11" t="s">
        <v>1349</v>
      </c>
      <c r="B14" s="44" t="s">
        <v>91</v>
      </c>
      <c r="C14" s="11" t="s">
        <v>92</v>
      </c>
      <c r="D14" s="12" t="s">
        <v>90</v>
      </c>
      <c r="E14" s="12" t="s">
        <v>93</v>
      </c>
      <c r="F14" s="13">
        <v>41804</v>
      </c>
      <c r="G14" s="7" t="s">
        <v>94</v>
      </c>
      <c r="H14" s="1" t="str">
        <f t="shared" si="0"/>
        <v>30TVN339539: Cilleruelo de Bezana. Hayedo de Carrales, 986 m. 14-6-2014 [JG239]</v>
      </c>
      <c r="I14" s="14" t="s">
        <v>95</v>
      </c>
      <c r="J14" s="14" t="s">
        <v>96</v>
      </c>
      <c r="K14" s="14" t="s">
        <v>97</v>
      </c>
      <c r="L14" s="15"/>
      <c r="M14" s="7" t="str">
        <f t="shared" si="1"/>
        <v>Corylus avellana</v>
      </c>
    </row>
    <row r="15" spans="1:13" ht="15.6" x14ac:dyDescent="0.3">
      <c r="A15" s="11" t="s">
        <v>1350</v>
      </c>
      <c r="B15" s="44" t="s">
        <v>99</v>
      </c>
      <c r="C15" s="11" t="s">
        <v>100</v>
      </c>
      <c r="D15" s="12" t="s">
        <v>98</v>
      </c>
      <c r="E15" s="12" t="s">
        <v>101</v>
      </c>
      <c r="F15" s="13">
        <v>41781</v>
      </c>
      <c r="G15" s="7" t="s">
        <v>38</v>
      </c>
      <c r="H15" s="1" t="str">
        <f t="shared" si="0"/>
        <v>30TVN315550: Cilleruelo de Bezana. Hayedo de Carrales, 981 m. 22-5-2014 [JG230]</v>
      </c>
      <c r="I15" s="14" t="s">
        <v>102</v>
      </c>
      <c r="J15" s="14" t="s">
        <v>103</v>
      </c>
      <c r="K15" s="14" t="s">
        <v>104</v>
      </c>
      <c r="L15" s="15"/>
      <c r="M15" s="7" t="str">
        <f t="shared" si="1"/>
        <v>Blechnum spicant subsp. spicant</v>
      </c>
    </row>
    <row r="16" spans="1:13" ht="15.6" x14ac:dyDescent="0.3">
      <c r="A16" s="11" t="s">
        <v>1351</v>
      </c>
      <c r="B16" s="44" t="s">
        <v>55</v>
      </c>
      <c r="C16" s="11" t="s">
        <v>56</v>
      </c>
      <c r="D16" s="12" t="s">
        <v>105</v>
      </c>
      <c r="E16" s="12" t="s">
        <v>106</v>
      </c>
      <c r="F16" s="13">
        <v>41795</v>
      </c>
      <c r="G16" s="7" t="s">
        <v>58</v>
      </c>
      <c r="H16" s="1" t="str">
        <f t="shared" si="0"/>
        <v>30TVN364557: Torres de Abajo. Encinar, 855 m. 5-6-2014 [JG040]</v>
      </c>
      <c r="I16" s="14" t="s">
        <v>107</v>
      </c>
      <c r="J16" s="14" t="s">
        <v>108</v>
      </c>
      <c r="K16" s="14" t="s">
        <v>109</v>
      </c>
      <c r="L16" s="7"/>
      <c r="M16" s="7" t="str">
        <f t="shared" si="1"/>
        <v>Glandora diffusa</v>
      </c>
    </row>
    <row r="17" spans="1:13" ht="15.6" x14ac:dyDescent="0.3">
      <c r="A17" s="11" t="s">
        <v>1351</v>
      </c>
      <c r="B17" s="44" t="s">
        <v>83</v>
      </c>
      <c r="C17" s="11" t="s">
        <v>84</v>
      </c>
      <c r="D17" s="12" t="s">
        <v>110</v>
      </c>
      <c r="E17" s="12" t="s">
        <v>111</v>
      </c>
      <c r="F17" s="13">
        <v>41798</v>
      </c>
      <c r="G17" s="7" t="s">
        <v>86</v>
      </c>
      <c r="H17" s="1" t="str">
        <f t="shared" si="0"/>
        <v>30TVN350545: Torres de Abajo. Encinar, 929 m. 8-6-2014 [JG055]</v>
      </c>
      <c r="I17" s="14" t="s">
        <v>107</v>
      </c>
      <c r="J17" s="14" t="s">
        <v>108</v>
      </c>
      <c r="K17" s="14" t="s">
        <v>109</v>
      </c>
      <c r="L17" s="15" t="s">
        <v>112</v>
      </c>
      <c r="M17" s="7" t="str">
        <f t="shared" si="1"/>
        <v>Glandora diffusa</v>
      </c>
    </row>
    <row r="18" spans="1:13" ht="15.6" x14ac:dyDescent="0.3">
      <c r="A18" s="4" t="s">
        <v>1352</v>
      </c>
      <c r="B18" s="44" t="s">
        <v>21</v>
      </c>
      <c r="C18" s="4" t="s">
        <v>22</v>
      </c>
      <c r="D18" s="5" t="s">
        <v>113</v>
      </c>
      <c r="E18" s="5" t="s">
        <v>114</v>
      </c>
      <c r="F18" s="6">
        <v>41799</v>
      </c>
      <c r="G18" s="7" t="s">
        <v>24</v>
      </c>
      <c r="H18" s="1" t="str">
        <f t="shared" si="0"/>
        <v>30TVN383582: San Cibrián. Hayedo, 750 m. 9-6-2014 [JG267]</v>
      </c>
      <c r="I18" s="8" t="s">
        <v>107</v>
      </c>
      <c r="J18" s="8" t="s">
        <v>115</v>
      </c>
      <c r="K18" s="8" t="s">
        <v>116</v>
      </c>
      <c r="L18" s="9"/>
      <c r="M18" s="10" t="str">
        <f t="shared" si="1"/>
        <v>Myosotis arvensis subsp. arvensis</v>
      </c>
    </row>
    <row r="19" spans="1:13" ht="15.6" x14ac:dyDescent="0.3">
      <c r="A19" s="4" t="s">
        <v>1353</v>
      </c>
      <c r="B19" s="44" t="s">
        <v>118</v>
      </c>
      <c r="C19" s="4" t="s">
        <v>119</v>
      </c>
      <c r="D19" s="5" t="s">
        <v>117</v>
      </c>
      <c r="E19" s="5" t="s">
        <v>120</v>
      </c>
      <c r="F19" s="6">
        <v>41783</v>
      </c>
      <c r="G19" s="7" t="s">
        <v>121</v>
      </c>
      <c r="H19" s="1" t="str">
        <f t="shared" si="0"/>
        <v>30TVN303593: Cilleruelo de Bezana. Carballeda, 819 m. 24-5-2014 [JG391]</v>
      </c>
      <c r="I19" s="8" t="s">
        <v>107</v>
      </c>
      <c r="J19" s="8" t="s">
        <v>122</v>
      </c>
      <c r="K19" s="8" t="s">
        <v>123</v>
      </c>
      <c r="L19" s="9"/>
      <c r="M19" s="10" t="str">
        <f t="shared" si="1"/>
        <v>Pulmonaria longifolia</v>
      </c>
    </row>
    <row r="20" spans="1:13" ht="15.6" x14ac:dyDescent="0.3">
      <c r="A20" s="11" t="s">
        <v>1354</v>
      </c>
      <c r="B20" s="44" t="s">
        <v>125</v>
      </c>
      <c r="C20" s="11" t="s">
        <v>126</v>
      </c>
      <c r="D20" s="12" t="s">
        <v>124</v>
      </c>
      <c r="E20" s="12" t="s">
        <v>127</v>
      </c>
      <c r="F20" s="13">
        <v>41792</v>
      </c>
      <c r="G20" s="7" t="s">
        <v>46</v>
      </c>
      <c r="H20" s="1" t="str">
        <f t="shared" si="0"/>
        <v>30TVN361561: Torres de Abajo. Hayedo, 874 m. 2-6-2014 [JG259]</v>
      </c>
      <c r="I20" s="14" t="s">
        <v>107</v>
      </c>
      <c r="J20" s="14" t="s">
        <v>128</v>
      </c>
      <c r="K20" s="14" t="s">
        <v>129</v>
      </c>
      <c r="L20" s="15"/>
      <c r="M20" s="7" t="str">
        <f t="shared" si="1"/>
        <v>Symphytum tuberosum subsp. tuberosum</v>
      </c>
    </row>
    <row r="21" spans="1:13" ht="15.6" x14ac:dyDescent="0.3">
      <c r="A21" s="11" t="s">
        <v>1354</v>
      </c>
      <c r="B21" s="44" t="s">
        <v>131</v>
      </c>
      <c r="C21" s="11" t="s">
        <v>132</v>
      </c>
      <c r="D21" s="12" t="s">
        <v>130</v>
      </c>
      <c r="E21" s="12" t="s">
        <v>133</v>
      </c>
      <c r="F21" s="13">
        <v>41808</v>
      </c>
      <c r="G21" s="7" t="s">
        <v>134</v>
      </c>
      <c r="H21" s="1" t="str">
        <f t="shared" si="0"/>
        <v>30TVN355608: Castrillo de Bezana. Melojar, 1007 m. 18-6-2014 [JG299]</v>
      </c>
      <c r="I21" s="14" t="s">
        <v>107</v>
      </c>
      <c r="J21" s="14" t="s">
        <v>128</v>
      </c>
      <c r="K21" s="14" t="s">
        <v>129</v>
      </c>
      <c r="L21" s="15"/>
      <c r="M21" s="7" t="str">
        <f t="shared" si="1"/>
        <v>Symphytum tuberosum subsp. tuberosum</v>
      </c>
    </row>
    <row r="22" spans="1:13" ht="15.6" x14ac:dyDescent="0.3">
      <c r="A22" s="4" t="s">
        <v>1355</v>
      </c>
      <c r="B22" s="44" t="s">
        <v>29</v>
      </c>
      <c r="C22" s="5" t="s">
        <v>30</v>
      </c>
      <c r="D22" s="5" t="s">
        <v>135</v>
      </c>
      <c r="E22" s="5" t="s">
        <v>136</v>
      </c>
      <c r="F22" s="6">
        <v>41806</v>
      </c>
      <c r="G22" s="7" t="s">
        <v>32</v>
      </c>
      <c r="H22" s="1" t="str">
        <f t="shared" si="0"/>
        <v>30TVN369591: Argomedo. Melojar, 900 m. 16-6-2014 [JG010]</v>
      </c>
      <c r="I22" s="8" t="s">
        <v>137</v>
      </c>
      <c r="J22" s="8" t="s">
        <v>138</v>
      </c>
      <c r="K22" s="8" t="s">
        <v>139</v>
      </c>
      <c r="L22" s="9"/>
      <c r="M22" s="10" t="str">
        <f t="shared" si="1"/>
        <v>Campanula rapunculus</v>
      </c>
    </row>
    <row r="23" spans="1:13" ht="15.6" x14ac:dyDescent="0.3">
      <c r="A23" s="4" t="s">
        <v>1356</v>
      </c>
      <c r="B23" s="44" t="s">
        <v>141</v>
      </c>
      <c r="C23" s="5" t="s">
        <v>142</v>
      </c>
      <c r="D23" s="5" t="s">
        <v>140</v>
      </c>
      <c r="E23" s="5" t="s">
        <v>143</v>
      </c>
      <c r="F23" s="6">
        <v>41796</v>
      </c>
      <c r="G23" s="7" t="s">
        <v>144</v>
      </c>
      <c r="H23" s="1" t="str">
        <f t="shared" si="0"/>
        <v>30TVN353517: Munilla. Bosque marcestente mixto de quejigo y melojo, 780 m. 6-6-2014 [JG006]</v>
      </c>
      <c r="I23" s="8" t="s">
        <v>137</v>
      </c>
      <c r="J23" s="8" t="s">
        <v>145</v>
      </c>
      <c r="K23" s="8" t="s">
        <v>146</v>
      </c>
      <c r="L23" s="9"/>
      <c r="M23" s="10" t="str">
        <f t="shared" si="1"/>
        <v>Jasione montana</v>
      </c>
    </row>
    <row r="24" spans="1:13" ht="15.6" x14ac:dyDescent="0.3">
      <c r="A24" s="11" t="s">
        <v>1357</v>
      </c>
      <c r="B24" s="44" t="s">
        <v>148</v>
      </c>
      <c r="C24" s="11" t="s">
        <v>149</v>
      </c>
      <c r="D24" s="12" t="s">
        <v>147</v>
      </c>
      <c r="E24" s="12" t="s">
        <v>150</v>
      </c>
      <c r="F24" s="13">
        <v>41799</v>
      </c>
      <c r="G24" s="7" t="s">
        <v>24</v>
      </c>
      <c r="H24" s="1" t="str">
        <f t="shared" si="0"/>
        <v>30TVN371543: Hoz de Arreba. Quejigar, 839 m. 9-6-2014 [JG138]</v>
      </c>
      <c r="I24" s="14" t="s">
        <v>137</v>
      </c>
      <c r="J24" s="14" t="s">
        <v>151</v>
      </c>
      <c r="K24" s="14" t="s">
        <v>152</v>
      </c>
      <c r="L24" s="15"/>
      <c r="M24" s="7" t="str">
        <f t="shared" si="1"/>
        <v>Phyteuma orbiculare</v>
      </c>
    </row>
    <row r="25" spans="1:13" ht="15.6" x14ac:dyDescent="0.3">
      <c r="A25" s="11" t="s">
        <v>1357</v>
      </c>
      <c r="B25" s="44" t="s">
        <v>154</v>
      </c>
      <c r="C25" s="11" t="s">
        <v>155</v>
      </c>
      <c r="D25" s="12" t="s">
        <v>153</v>
      </c>
      <c r="E25" s="12" t="s">
        <v>156</v>
      </c>
      <c r="F25" s="13">
        <v>41795</v>
      </c>
      <c r="G25" s="7" t="s">
        <v>58</v>
      </c>
      <c r="H25" s="1" t="str">
        <f t="shared" si="0"/>
        <v>30TVN396513: Lándraves. Quejigar, 676 m. 5-6-2014 [JG190]</v>
      </c>
      <c r="I25" s="14" t="s">
        <v>137</v>
      </c>
      <c r="J25" s="14" t="s">
        <v>151</v>
      </c>
      <c r="K25" s="14" t="s">
        <v>152</v>
      </c>
      <c r="L25" s="15"/>
      <c r="M25" s="7" t="str">
        <f t="shared" si="1"/>
        <v>Phyteuma orbiculare</v>
      </c>
    </row>
    <row r="26" spans="1:13" ht="15.6" x14ac:dyDescent="0.3">
      <c r="A26" s="4" t="s">
        <v>1358</v>
      </c>
      <c r="B26" s="44" t="s">
        <v>141</v>
      </c>
      <c r="C26" s="5" t="s">
        <v>142</v>
      </c>
      <c r="D26" s="5" t="s">
        <v>157</v>
      </c>
      <c r="E26" s="5" t="s">
        <v>158</v>
      </c>
      <c r="F26" s="6">
        <v>41796</v>
      </c>
      <c r="G26" s="7" t="s">
        <v>144</v>
      </c>
      <c r="H26" s="1" t="str">
        <f t="shared" si="0"/>
        <v>30TVN353517: Munilla. Bosque marcestente mixto de quejigo y melojo, 780 m. 6-6-2014 [JG007]</v>
      </c>
      <c r="I26" s="8" t="s">
        <v>159</v>
      </c>
      <c r="J26" s="8" t="s">
        <v>160</v>
      </c>
      <c r="K26" s="8" t="s">
        <v>161</v>
      </c>
      <c r="L26" s="9"/>
      <c r="M26" s="10" t="str">
        <f t="shared" si="1"/>
        <v>Lonicera etrusca</v>
      </c>
    </row>
    <row r="27" spans="1:13" ht="15.6" x14ac:dyDescent="0.3">
      <c r="A27" s="11" t="s">
        <v>1359</v>
      </c>
      <c r="B27" s="44" t="s">
        <v>51</v>
      </c>
      <c r="C27" s="11" t="s">
        <v>52</v>
      </c>
      <c r="D27" s="12" t="s">
        <v>162</v>
      </c>
      <c r="E27" s="12" t="s">
        <v>163</v>
      </c>
      <c r="F27" s="13">
        <v>41799</v>
      </c>
      <c r="G27" s="7" t="s">
        <v>24</v>
      </c>
      <c r="H27" s="1" t="str">
        <f t="shared" si="0"/>
        <v>30TVN391579: San Cibrián. Hayedo, 737 m. 9-6-2014 [JG296]</v>
      </c>
      <c r="I27" s="14" t="s">
        <v>159</v>
      </c>
      <c r="J27" s="14" t="s">
        <v>160</v>
      </c>
      <c r="K27" s="14" t="s">
        <v>164</v>
      </c>
      <c r="L27" s="15"/>
      <c r="M27" s="7" t="str">
        <f t="shared" si="1"/>
        <v>Lonicera xylosteum</v>
      </c>
    </row>
    <row r="28" spans="1:13" ht="15.6" x14ac:dyDescent="0.3">
      <c r="A28" s="4" t="s">
        <v>1360</v>
      </c>
      <c r="B28" s="44" t="s">
        <v>21</v>
      </c>
      <c r="C28" s="4" t="s">
        <v>22</v>
      </c>
      <c r="D28" s="5" t="s">
        <v>165</v>
      </c>
      <c r="E28" s="5" t="s">
        <v>166</v>
      </c>
      <c r="F28" s="6">
        <v>41799</v>
      </c>
      <c r="G28" s="7" t="s">
        <v>24</v>
      </c>
      <c r="H28" s="1" t="str">
        <f t="shared" si="0"/>
        <v>30TVN383582: San Cibrián. Hayedo, 750 m. 9-6-2014 [JG268]</v>
      </c>
      <c r="I28" s="8" t="s">
        <v>159</v>
      </c>
      <c r="J28" s="8" t="s">
        <v>167</v>
      </c>
      <c r="K28" s="8" t="s">
        <v>168</v>
      </c>
      <c r="L28" s="34"/>
      <c r="M28" s="10" t="str">
        <f t="shared" si="1"/>
        <v>Sambucus nigra subsp. nigra</v>
      </c>
    </row>
    <row r="29" spans="1:13" ht="15.6" x14ac:dyDescent="0.3">
      <c r="A29" s="11" t="s">
        <v>1360</v>
      </c>
      <c r="B29" s="44" t="s">
        <v>43</v>
      </c>
      <c r="C29" s="11" t="s">
        <v>44</v>
      </c>
      <c r="D29" s="12" t="s">
        <v>169</v>
      </c>
      <c r="E29" s="12" t="s">
        <v>170</v>
      </c>
      <c r="F29" s="13">
        <v>41792</v>
      </c>
      <c r="G29" s="7" t="s">
        <v>46</v>
      </c>
      <c r="H29" s="1" t="str">
        <f t="shared" si="0"/>
        <v>30TVN387579: San Cibrián. Hayedo, 756 m. 2-6-2014 [JG284]</v>
      </c>
      <c r="I29" s="14" t="s">
        <v>159</v>
      </c>
      <c r="J29" s="14" t="s">
        <v>167</v>
      </c>
      <c r="K29" s="14" t="s">
        <v>168</v>
      </c>
      <c r="L29" s="16"/>
      <c r="M29" s="7" t="str">
        <f t="shared" si="1"/>
        <v>Sambucus nigra subsp. nigra</v>
      </c>
    </row>
    <row r="30" spans="1:13" ht="15.6" x14ac:dyDescent="0.3">
      <c r="A30" s="11" t="s">
        <v>1361</v>
      </c>
      <c r="B30" s="44" t="s">
        <v>172</v>
      </c>
      <c r="C30" s="11" t="s">
        <v>173</v>
      </c>
      <c r="D30" s="17" t="s">
        <v>171</v>
      </c>
      <c r="E30" s="12" t="s">
        <v>174</v>
      </c>
      <c r="F30" s="13">
        <v>41798</v>
      </c>
      <c r="G30" s="7" t="s">
        <v>86</v>
      </c>
      <c r="H30" s="1" t="str">
        <f t="shared" si="0"/>
        <v>30TVN365521: Munilla. Quejigar, 944 m. 8-6-2014 [JG368]</v>
      </c>
      <c r="I30" s="14" t="s">
        <v>159</v>
      </c>
      <c r="J30" s="14" t="s">
        <v>175</v>
      </c>
      <c r="K30" s="14" t="s">
        <v>176</v>
      </c>
      <c r="L30" s="15"/>
      <c r="M30" s="7" t="str">
        <f t="shared" si="1"/>
        <v>Viburnum lantana</v>
      </c>
    </row>
    <row r="31" spans="1:13" ht="15.6" x14ac:dyDescent="0.3">
      <c r="A31" s="11" t="s">
        <v>1362</v>
      </c>
      <c r="B31" s="44" t="s">
        <v>55</v>
      </c>
      <c r="C31" s="11" t="s">
        <v>56</v>
      </c>
      <c r="D31" s="12" t="s">
        <v>177</v>
      </c>
      <c r="E31" s="12" t="s">
        <v>178</v>
      </c>
      <c r="F31" s="13">
        <v>41795</v>
      </c>
      <c r="G31" s="7" t="s">
        <v>58</v>
      </c>
      <c r="H31" s="1" t="str">
        <f t="shared" si="0"/>
        <v>30TVN364557: Torres de Abajo. Encinar, 855 m. 5-6-2014 [JG041]</v>
      </c>
      <c r="I31" s="14" t="s">
        <v>179</v>
      </c>
      <c r="J31" s="14" t="s">
        <v>180</v>
      </c>
      <c r="K31" s="14" t="s">
        <v>181</v>
      </c>
      <c r="L31" s="15"/>
      <c r="M31" s="7" t="str">
        <f t="shared" si="1"/>
        <v>Arenaria montana subsp. montana</v>
      </c>
    </row>
    <row r="32" spans="1:13" ht="15.6" x14ac:dyDescent="0.3">
      <c r="A32" s="11" t="s">
        <v>1362</v>
      </c>
      <c r="B32" s="44" t="s">
        <v>83</v>
      </c>
      <c r="C32" s="11" t="s">
        <v>84</v>
      </c>
      <c r="D32" s="12" t="s">
        <v>182</v>
      </c>
      <c r="E32" s="12" t="s">
        <v>183</v>
      </c>
      <c r="F32" s="13">
        <v>41798</v>
      </c>
      <c r="G32" s="7" t="s">
        <v>86</v>
      </c>
      <c r="H32" s="1" t="str">
        <f t="shared" si="0"/>
        <v>30TVN350545: Torres de Abajo. Encinar, 929 m. 8-6-2014 [JG056]</v>
      </c>
      <c r="I32" s="14" t="s">
        <v>179</v>
      </c>
      <c r="J32" s="14" t="s">
        <v>180</v>
      </c>
      <c r="K32" s="14" t="s">
        <v>181</v>
      </c>
      <c r="L32" s="15"/>
      <c r="M32" s="7" t="str">
        <f t="shared" si="1"/>
        <v>Arenaria montana subsp. montana</v>
      </c>
    </row>
    <row r="33" spans="1:13" ht="15.6" x14ac:dyDescent="0.3">
      <c r="A33" s="11" t="s">
        <v>1362</v>
      </c>
      <c r="B33" s="44" t="s">
        <v>68</v>
      </c>
      <c r="C33" s="11" t="s">
        <v>69</v>
      </c>
      <c r="D33" s="12" t="s">
        <v>184</v>
      </c>
      <c r="E33" s="12" t="s">
        <v>185</v>
      </c>
      <c r="F33" s="13">
        <v>41794</v>
      </c>
      <c r="G33" s="7" t="s">
        <v>71</v>
      </c>
      <c r="H33" s="1" t="str">
        <f t="shared" si="0"/>
        <v>30TVN373545: Hoz de Arreba. Encinar, 829 m. 4-6-2014 [JG116]</v>
      </c>
      <c r="I33" s="14" t="s">
        <v>179</v>
      </c>
      <c r="J33" s="14" t="s">
        <v>180</v>
      </c>
      <c r="K33" s="14" t="s">
        <v>181</v>
      </c>
      <c r="L33" s="15"/>
      <c r="M33" s="7" t="str">
        <f t="shared" si="1"/>
        <v>Arenaria montana subsp. montana</v>
      </c>
    </row>
    <row r="34" spans="1:13" ht="15.6" x14ac:dyDescent="0.3">
      <c r="A34" s="11" t="s">
        <v>1362</v>
      </c>
      <c r="B34" s="44" t="s">
        <v>187</v>
      </c>
      <c r="C34" s="11" t="s">
        <v>188</v>
      </c>
      <c r="D34" s="12" t="s">
        <v>186</v>
      </c>
      <c r="E34" s="12" t="s">
        <v>189</v>
      </c>
      <c r="F34" s="13">
        <v>41807</v>
      </c>
      <c r="G34" s="7" t="s">
        <v>190</v>
      </c>
      <c r="H34" s="1" t="str">
        <f t="shared" si="0"/>
        <v>30TVN366512: Munilla. Melojar, 764 m. 17-6-2014 [JG310]</v>
      </c>
      <c r="I34" s="14" t="s">
        <v>179</v>
      </c>
      <c r="J34" s="14" t="s">
        <v>180</v>
      </c>
      <c r="K34" s="14" t="s">
        <v>181</v>
      </c>
      <c r="L34" s="15"/>
      <c r="M34" s="7" t="str">
        <f t="shared" si="1"/>
        <v>Arenaria montana subsp. montana</v>
      </c>
    </row>
    <row r="35" spans="1:13" ht="15.6" x14ac:dyDescent="0.3">
      <c r="A35" s="11" t="s">
        <v>1362</v>
      </c>
      <c r="B35" s="44" t="s">
        <v>192</v>
      </c>
      <c r="C35" s="11" t="s">
        <v>193</v>
      </c>
      <c r="D35" s="12" t="s">
        <v>191</v>
      </c>
      <c r="E35" s="12" t="s">
        <v>194</v>
      </c>
      <c r="F35" s="13">
        <v>41793</v>
      </c>
      <c r="G35" s="7" t="s">
        <v>195</v>
      </c>
      <c r="H35" s="1" t="str">
        <f t="shared" si="0"/>
        <v>30TVN325592: Virtus. Melojar, 918 m. 3-6-2014 [JG349]</v>
      </c>
      <c r="I35" s="14" t="s">
        <v>179</v>
      </c>
      <c r="J35" s="14" t="s">
        <v>180</v>
      </c>
      <c r="K35" s="14" t="s">
        <v>181</v>
      </c>
      <c r="L35" s="15"/>
      <c r="M35" s="7" t="str">
        <f t="shared" si="1"/>
        <v>Arenaria montana subsp. montana</v>
      </c>
    </row>
    <row r="36" spans="1:13" ht="15.6" x14ac:dyDescent="0.3">
      <c r="A36" s="4" t="s">
        <v>1362</v>
      </c>
      <c r="B36" s="44" t="s">
        <v>118</v>
      </c>
      <c r="C36" s="4" t="s">
        <v>119</v>
      </c>
      <c r="D36" s="5" t="s">
        <v>196</v>
      </c>
      <c r="E36" s="5" t="s">
        <v>197</v>
      </c>
      <c r="F36" s="6">
        <v>41800</v>
      </c>
      <c r="G36" s="7" t="s">
        <v>198</v>
      </c>
      <c r="H36" s="1" t="str">
        <f t="shared" si="0"/>
        <v>30TVN303593: Cilleruelo de Bezana. Carballeda, 819 m. 10-6-2014 [JG392]</v>
      </c>
      <c r="I36" s="18" t="s">
        <v>179</v>
      </c>
      <c r="J36" s="8" t="s">
        <v>180</v>
      </c>
      <c r="K36" s="8" t="s">
        <v>181</v>
      </c>
      <c r="L36" s="9"/>
      <c r="M36" s="10" t="str">
        <f t="shared" si="1"/>
        <v>Arenaria montana subsp. montana</v>
      </c>
    </row>
    <row r="37" spans="1:13" ht="15.6" x14ac:dyDescent="0.3">
      <c r="A37" s="11" t="s">
        <v>1362</v>
      </c>
      <c r="B37" s="44" t="s">
        <v>200</v>
      </c>
      <c r="C37" s="11" t="s">
        <v>201</v>
      </c>
      <c r="D37" s="17" t="s">
        <v>199</v>
      </c>
      <c r="E37" s="12" t="s">
        <v>202</v>
      </c>
      <c r="F37" s="13">
        <v>41800</v>
      </c>
      <c r="G37" s="7" t="s">
        <v>198</v>
      </c>
      <c r="H37" s="1" t="str">
        <f t="shared" si="0"/>
        <v>30TVN315593: Cilleruelo de Bezana. Carballeda, 910 m. 10-6-2014 [JG417]</v>
      </c>
      <c r="I37" s="14" t="s">
        <v>179</v>
      </c>
      <c r="J37" s="14" t="s">
        <v>180</v>
      </c>
      <c r="K37" s="14" t="s">
        <v>181</v>
      </c>
      <c r="L37" s="15"/>
      <c r="M37" s="7" t="str">
        <f t="shared" si="1"/>
        <v>Arenaria montana subsp. montana</v>
      </c>
    </row>
    <row r="38" spans="1:13" ht="15.6" x14ac:dyDescent="0.3">
      <c r="A38" s="11" t="s">
        <v>1363</v>
      </c>
      <c r="B38" s="44" t="s">
        <v>187</v>
      </c>
      <c r="C38" s="11" t="s">
        <v>188</v>
      </c>
      <c r="D38" s="12" t="s">
        <v>203</v>
      </c>
      <c r="E38" s="12" t="s">
        <v>204</v>
      </c>
      <c r="F38" s="13">
        <v>41796</v>
      </c>
      <c r="G38" s="7" t="s">
        <v>144</v>
      </c>
      <c r="H38" s="1" t="str">
        <f t="shared" si="0"/>
        <v>30TVN366512: Munilla. Melojar, 764 m. 6-6-2014 [JG311]</v>
      </c>
      <c r="I38" s="19" t="s">
        <v>179</v>
      </c>
      <c r="J38" s="14" t="s">
        <v>205</v>
      </c>
      <c r="K38" s="14" t="s">
        <v>206</v>
      </c>
      <c r="L38" s="15"/>
      <c r="M38" s="7" t="str">
        <f t="shared" si="1"/>
        <v>Cerastium glomeratum</v>
      </c>
    </row>
    <row r="39" spans="1:13" ht="15.6" x14ac:dyDescent="0.3">
      <c r="A39" s="11" t="s">
        <v>1364</v>
      </c>
      <c r="B39" s="44" t="s">
        <v>63</v>
      </c>
      <c r="C39" s="11" t="s">
        <v>64</v>
      </c>
      <c r="D39" s="11" t="s">
        <v>207</v>
      </c>
      <c r="E39" s="12" t="s">
        <v>208</v>
      </c>
      <c r="F39" s="13">
        <v>41805</v>
      </c>
      <c r="G39" s="7" t="s">
        <v>66</v>
      </c>
      <c r="H39" s="1" t="str">
        <f t="shared" si="0"/>
        <v>30TVN408533: Cubillos del Rojo. Encinar, 901 m. 15-6-2014 [JG091]</v>
      </c>
      <c r="I39" s="14" t="s">
        <v>179</v>
      </c>
      <c r="J39" s="14" t="s">
        <v>209</v>
      </c>
      <c r="K39" s="14" t="s">
        <v>210</v>
      </c>
      <c r="L39" s="15"/>
      <c r="M39" s="7" t="str">
        <f t="shared" si="1"/>
        <v>Dianthus pungens subsp. brachyantus</v>
      </c>
    </row>
    <row r="40" spans="1:13" ht="15.6" x14ac:dyDescent="0.3">
      <c r="A40" s="11" t="s">
        <v>1364</v>
      </c>
      <c r="B40" s="44" t="s">
        <v>68</v>
      </c>
      <c r="C40" s="11" t="s">
        <v>69</v>
      </c>
      <c r="D40" s="12" t="s">
        <v>211</v>
      </c>
      <c r="E40" s="12" t="s">
        <v>212</v>
      </c>
      <c r="F40" s="13">
        <v>41784</v>
      </c>
      <c r="G40" s="7" t="s">
        <v>213</v>
      </c>
      <c r="H40" s="1" t="str">
        <f t="shared" si="0"/>
        <v>30TVN373545: Hoz de Arreba. Encinar, 829 m. 25-5-2014 [JG117]</v>
      </c>
      <c r="I40" s="14" t="s">
        <v>179</v>
      </c>
      <c r="J40" s="14" t="s">
        <v>209</v>
      </c>
      <c r="K40" s="14" t="s">
        <v>210</v>
      </c>
      <c r="L40" s="15"/>
      <c r="M40" s="7" t="str">
        <f t="shared" si="1"/>
        <v>Dianthus pungens subsp. brachyantus</v>
      </c>
    </row>
    <row r="41" spans="1:13" ht="15.6" x14ac:dyDescent="0.3">
      <c r="A41" s="11" t="s">
        <v>1365</v>
      </c>
      <c r="B41" s="44" t="s">
        <v>43</v>
      </c>
      <c r="C41" s="11" t="s">
        <v>44</v>
      </c>
      <c r="D41" s="12" t="s">
        <v>214</v>
      </c>
      <c r="E41" s="12" t="s">
        <v>215</v>
      </c>
      <c r="F41" s="13">
        <v>41792</v>
      </c>
      <c r="G41" s="7" t="s">
        <v>46</v>
      </c>
      <c r="H41" s="1" t="str">
        <f t="shared" si="0"/>
        <v>30TVN387579: San Cibrián. Hayedo, 756 m. 2-6-2014 [JG285]</v>
      </c>
      <c r="I41" s="14" t="s">
        <v>179</v>
      </c>
      <c r="J41" s="14" t="s">
        <v>216</v>
      </c>
      <c r="K41" s="14" t="s">
        <v>217</v>
      </c>
      <c r="L41" s="15"/>
      <c r="M41" s="7" t="str">
        <f t="shared" si="1"/>
        <v>Moehringia trinervia</v>
      </c>
    </row>
    <row r="42" spans="1:13" ht="15.6" x14ac:dyDescent="0.3">
      <c r="A42" s="11" t="s">
        <v>1366</v>
      </c>
      <c r="B42" s="44" t="s">
        <v>172</v>
      </c>
      <c r="C42" s="11" t="s">
        <v>173</v>
      </c>
      <c r="D42" s="12" t="s">
        <v>218</v>
      </c>
      <c r="E42" s="12" t="s">
        <v>219</v>
      </c>
      <c r="F42" s="13">
        <v>41798</v>
      </c>
      <c r="G42" s="7" t="s">
        <v>86</v>
      </c>
      <c r="H42" s="1" t="str">
        <f t="shared" si="0"/>
        <v>30TVN365521: Munilla. Quejigar, 944 m. 8-6-2014 [JG369]</v>
      </c>
      <c r="I42" s="14" t="s">
        <v>179</v>
      </c>
      <c r="J42" s="14" t="s">
        <v>220</v>
      </c>
      <c r="K42" s="14" t="s">
        <v>221</v>
      </c>
      <c r="L42" s="15"/>
      <c r="M42" s="7" t="str">
        <f t="shared" si="1"/>
        <v>Silene nutans subsp. nutans</v>
      </c>
    </row>
    <row r="43" spans="1:13" ht="15.6" x14ac:dyDescent="0.3">
      <c r="A43" s="4" t="s">
        <v>1367</v>
      </c>
      <c r="B43" s="44" t="s">
        <v>223</v>
      </c>
      <c r="C43" s="4" t="s">
        <v>224</v>
      </c>
      <c r="D43" s="5" t="s">
        <v>222</v>
      </c>
      <c r="E43" s="5" t="s">
        <v>225</v>
      </c>
      <c r="F43" s="6">
        <v>41804</v>
      </c>
      <c r="G43" s="7" t="s">
        <v>94</v>
      </c>
      <c r="H43" s="1" t="str">
        <f t="shared" si="0"/>
        <v>30TVN287569: Cilleruelo de Bezana. Hayedo de Carrales. 14-6-2014 [JG199]</v>
      </c>
      <c r="I43" s="8" t="s">
        <v>179</v>
      </c>
      <c r="J43" s="8" t="s">
        <v>226</v>
      </c>
      <c r="K43" s="8" t="s">
        <v>227</v>
      </c>
      <c r="L43" s="9"/>
      <c r="M43" s="10" t="str">
        <f t="shared" si="1"/>
        <v>Stellaria holostea</v>
      </c>
    </row>
    <row r="44" spans="1:13" ht="15.6" x14ac:dyDescent="0.3">
      <c r="A44" s="11" t="s">
        <v>1367</v>
      </c>
      <c r="B44" s="44" t="s">
        <v>35</v>
      </c>
      <c r="C44" s="11" t="s">
        <v>36</v>
      </c>
      <c r="D44" s="12" t="s">
        <v>228</v>
      </c>
      <c r="E44" s="12" t="s">
        <v>229</v>
      </c>
      <c r="F44" s="13">
        <v>41746</v>
      </c>
      <c r="G44" s="7" t="s">
        <v>230</v>
      </c>
      <c r="H44" s="1" t="str">
        <f t="shared" si="0"/>
        <v>30TVN324545: Cilleruelo de Bezana. Hayedo de Carrales, 962 m. 17-4-2014 [JG213]</v>
      </c>
      <c r="I44" s="14" t="s">
        <v>179</v>
      </c>
      <c r="J44" s="14" t="s">
        <v>226</v>
      </c>
      <c r="K44" s="14" t="s">
        <v>227</v>
      </c>
      <c r="L44" s="15"/>
      <c r="M44" s="7" t="str">
        <f t="shared" si="1"/>
        <v>Stellaria holostea</v>
      </c>
    </row>
    <row r="45" spans="1:13" ht="15.6" x14ac:dyDescent="0.3">
      <c r="A45" s="11" t="s">
        <v>1367</v>
      </c>
      <c r="B45" s="44" t="s">
        <v>131</v>
      </c>
      <c r="C45" s="11" t="s">
        <v>132</v>
      </c>
      <c r="D45" s="12" t="s">
        <v>231</v>
      </c>
      <c r="E45" s="12" t="s">
        <v>232</v>
      </c>
      <c r="F45" s="13">
        <v>41808</v>
      </c>
      <c r="G45" s="7" t="s">
        <v>134</v>
      </c>
      <c r="H45" s="1" t="str">
        <f t="shared" si="0"/>
        <v>30TVN355608: Castrillo de Bezana. Melojar, 1007 m. 18-6-2014 [JG300]</v>
      </c>
      <c r="I45" s="14" t="s">
        <v>179</v>
      </c>
      <c r="J45" s="14" t="s">
        <v>226</v>
      </c>
      <c r="K45" s="14" t="s">
        <v>227</v>
      </c>
      <c r="L45" s="15"/>
      <c r="M45" s="7" t="str">
        <f t="shared" si="1"/>
        <v>Stellaria holostea</v>
      </c>
    </row>
    <row r="46" spans="1:13" ht="15.6" x14ac:dyDescent="0.3">
      <c r="A46" s="4" t="s">
        <v>1367</v>
      </c>
      <c r="B46" s="44" t="s">
        <v>118</v>
      </c>
      <c r="C46" s="4" t="s">
        <v>119</v>
      </c>
      <c r="D46" s="20" t="s">
        <v>233</v>
      </c>
      <c r="E46" s="5" t="s">
        <v>234</v>
      </c>
      <c r="F46" s="6">
        <v>41800</v>
      </c>
      <c r="G46" s="7" t="s">
        <v>198</v>
      </c>
      <c r="H46" s="1" t="str">
        <f t="shared" si="0"/>
        <v>30TVN303593: Cilleruelo de Bezana. Carballeda, 819 m. 10-6-2014 [JG393]</v>
      </c>
      <c r="I46" s="18" t="s">
        <v>179</v>
      </c>
      <c r="J46" s="8" t="s">
        <v>226</v>
      </c>
      <c r="K46" s="8" t="s">
        <v>227</v>
      </c>
      <c r="L46" s="9"/>
      <c r="M46" s="10" t="str">
        <f t="shared" si="1"/>
        <v>Stellaria holostea</v>
      </c>
    </row>
    <row r="47" spans="1:13" ht="15.6" x14ac:dyDescent="0.3">
      <c r="A47" s="11" t="s">
        <v>1367</v>
      </c>
      <c r="B47" s="44" t="s">
        <v>236</v>
      </c>
      <c r="C47" s="11" t="s">
        <v>237</v>
      </c>
      <c r="D47" s="12" t="s">
        <v>235</v>
      </c>
      <c r="E47" s="12" t="s">
        <v>238</v>
      </c>
      <c r="F47" s="13">
        <v>41782</v>
      </c>
      <c r="G47" s="7" t="s">
        <v>239</v>
      </c>
      <c r="H47" s="1" t="str">
        <f t="shared" si="0"/>
        <v>30TVN306592: Cilleruelo de Bezana. Carballeda, 889 m. 23-5-2014 [JG409]</v>
      </c>
      <c r="I47" s="14" t="s">
        <v>179</v>
      </c>
      <c r="J47" s="14" t="s">
        <v>226</v>
      </c>
      <c r="K47" s="14" t="s">
        <v>227</v>
      </c>
      <c r="L47" s="15"/>
      <c r="M47" s="7" t="str">
        <f t="shared" si="1"/>
        <v>Stellaria holostea</v>
      </c>
    </row>
    <row r="48" spans="1:13" ht="15.6" x14ac:dyDescent="0.3">
      <c r="A48" s="11" t="s">
        <v>1368</v>
      </c>
      <c r="B48" s="44" t="s">
        <v>55</v>
      </c>
      <c r="C48" s="11" t="s">
        <v>56</v>
      </c>
      <c r="D48" s="12" t="s">
        <v>240</v>
      </c>
      <c r="E48" s="12" t="s">
        <v>241</v>
      </c>
      <c r="F48" s="13">
        <v>41795</v>
      </c>
      <c r="G48" s="7" t="s">
        <v>58</v>
      </c>
      <c r="H48" s="1" t="str">
        <f t="shared" si="0"/>
        <v>30TVN364557: Torres de Abajo. Encinar, 855 m. 5-6-2014 [JG042]</v>
      </c>
      <c r="I48" s="14" t="s">
        <v>242</v>
      </c>
      <c r="J48" s="14" t="s">
        <v>243</v>
      </c>
      <c r="K48" s="14" t="s">
        <v>244</v>
      </c>
      <c r="L48" s="15"/>
      <c r="M48" s="7" t="str">
        <f t="shared" si="1"/>
        <v>Cistus salviifolius</v>
      </c>
    </row>
    <row r="49" spans="1:13" ht="15.6" x14ac:dyDescent="0.3">
      <c r="A49" s="11" t="s">
        <v>1369</v>
      </c>
      <c r="B49" s="44" t="s">
        <v>68</v>
      </c>
      <c r="C49" s="11" t="s">
        <v>69</v>
      </c>
      <c r="D49" s="12" t="s">
        <v>245</v>
      </c>
      <c r="E49" s="12" t="s">
        <v>246</v>
      </c>
      <c r="F49" s="13">
        <v>41794</v>
      </c>
      <c r="G49" s="7" t="s">
        <v>71</v>
      </c>
      <c r="H49" s="1" t="str">
        <f t="shared" si="0"/>
        <v>30TVN373545: Hoz de Arreba. Encinar, 829 m. 4-6-2014 [JG118]</v>
      </c>
      <c r="I49" s="14" t="s">
        <v>242</v>
      </c>
      <c r="J49" s="14" t="s">
        <v>247</v>
      </c>
      <c r="K49" s="14" t="s">
        <v>248</v>
      </c>
      <c r="L49" s="15"/>
      <c r="M49" s="7" t="str">
        <f t="shared" si="1"/>
        <v>Fumana procumbens</v>
      </c>
    </row>
    <row r="50" spans="1:13" ht="15.6" x14ac:dyDescent="0.3">
      <c r="A50" s="4" t="s">
        <v>1370</v>
      </c>
      <c r="B50" s="44" t="s">
        <v>29</v>
      </c>
      <c r="C50" s="5" t="s">
        <v>30</v>
      </c>
      <c r="D50" s="5" t="s">
        <v>249</v>
      </c>
      <c r="E50" s="5" t="s">
        <v>250</v>
      </c>
      <c r="F50" s="6">
        <v>41806</v>
      </c>
      <c r="G50" s="7" t="s">
        <v>32</v>
      </c>
      <c r="H50" s="1" t="str">
        <f t="shared" si="0"/>
        <v>30TVN369591: Argomedo. Melojar, 900 m. 16-6-2014 [JG011]</v>
      </c>
      <c r="I50" s="8" t="s">
        <v>242</v>
      </c>
      <c r="J50" s="8" t="s">
        <v>251</v>
      </c>
      <c r="K50" s="8" t="s">
        <v>252</v>
      </c>
      <c r="L50" s="9"/>
      <c r="M50" s="10" t="str">
        <f t="shared" si="1"/>
        <v>Helianthemum nummularium</v>
      </c>
    </row>
    <row r="51" spans="1:13" ht="15.6" x14ac:dyDescent="0.3">
      <c r="A51" s="4" t="s">
        <v>1370</v>
      </c>
      <c r="B51" s="44" t="s">
        <v>223</v>
      </c>
      <c r="C51" s="4" t="s">
        <v>224</v>
      </c>
      <c r="D51" s="5" t="s">
        <v>253</v>
      </c>
      <c r="E51" s="5" t="s">
        <v>254</v>
      </c>
      <c r="F51" s="6">
        <v>41804</v>
      </c>
      <c r="G51" s="7" t="s">
        <v>94</v>
      </c>
      <c r="H51" s="1" t="str">
        <f t="shared" si="0"/>
        <v>30TVN287569: Cilleruelo de Bezana. Hayedo de Carrales. 14-6-2014 [JG200]</v>
      </c>
      <c r="I51" s="8" t="s">
        <v>242</v>
      </c>
      <c r="J51" s="8" t="s">
        <v>251</v>
      </c>
      <c r="K51" s="8" t="s">
        <v>252</v>
      </c>
      <c r="L51" s="9"/>
      <c r="M51" s="10" t="str">
        <f t="shared" si="1"/>
        <v>Helianthemum nummularium</v>
      </c>
    </row>
    <row r="52" spans="1:13" ht="15.6" x14ac:dyDescent="0.3">
      <c r="A52" s="11" t="s">
        <v>1371</v>
      </c>
      <c r="B52" s="44" t="s">
        <v>83</v>
      </c>
      <c r="C52" s="11" t="s">
        <v>84</v>
      </c>
      <c r="D52" s="12" t="s">
        <v>255</v>
      </c>
      <c r="E52" s="12" t="s">
        <v>256</v>
      </c>
      <c r="F52" s="13">
        <v>41798</v>
      </c>
      <c r="G52" s="7" t="s">
        <v>86</v>
      </c>
      <c r="H52" s="1" t="str">
        <f t="shared" si="0"/>
        <v>30TVN350545: Torres de Abajo. Encinar, 929 m. 8-6-2014 [JG057]</v>
      </c>
      <c r="I52" s="14" t="s">
        <v>242</v>
      </c>
      <c r="J52" s="14" t="s">
        <v>251</v>
      </c>
      <c r="K52" s="14" t="s">
        <v>257</v>
      </c>
      <c r="L52" s="15" t="s">
        <v>258</v>
      </c>
      <c r="M52" s="7" t="str">
        <f t="shared" si="1"/>
        <v>Helianthemum oelandicum subsp. incanum</v>
      </c>
    </row>
    <row r="53" spans="1:13" ht="15.6" x14ac:dyDescent="0.3">
      <c r="A53" s="11" t="s">
        <v>1371</v>
      </c>
      <c r="B53" s="44" t="s">
        <v>148</v>
      </c>
      <c r="C53" s="11" t="s">
        <v>149</v>
      </c>
      <c r="D53" s="12" t="s">
        <v>259</v>
      </c>
      <c r="E53" s="12" t="s">
        <v>260</v>
      </c>
      <c r="F53" s="13">
        <v>41799</v>
      </c>
      <c r="G53" s="7" t="s">
        <v>24</v>
      </c>
      <c r="H53" s="1" t="str">
        <f t="shared" si="0"/>
        <v>30TVN371543: Hoz de Arreba. Quejigar, 839 m. 9-6-2014 [JG139]</v>
      </c>
      <c r="I53" s="14" t="s">
        <v>242</v>
      </c>
      <c r="J53" s="14" t="s">
        <v>251</v>
      </c>
      <c r="K53" s="14" t="s">
        <v>257</v>
      </c>
      <c r="L53" s="15" t="s">
        <v>258</v>
      </c>
      <c r="M53" s="7" t="str">
        <f t="shared" si="1"/>
        <v>Helianthemum oelandicum subsp. incanum</v>
      </c>
    </row>
    <row r="54" spans="1:13" ht="15.6" x14ac:dyDescent="0.3">
      <c r="A54" s="11" t="s">
        <v>1371</v>
      </c>
      <c r="B54" s="44" t="s">
        <v>154</v>
      </c>
      <c r="C54" s="11" t="s">
        <v>155</v>
      </c>
      <c r="D54" s="12" t="s">
        <v>261</v>
      </c>
      <c r="E54" s="12" t="s">
        <v>262</v>
      </c>
      <c r="F54" s="13">
        <v>41795</v>
      </c>
      <c r="G54" s="7" t="s">
        <v>58</v>
      </c>
      <c r="H54" s="1" t="str">
        <f t="shared" si="0"/>
        <v>30TVN396513: Lándraves. Quejigar, 676 m. 5-6-2014 [JG191]</v>
      </c>
      <c r="I54" s="14" t="s">
        <v>242</v>
      </c>
      <c r="J54" s="14" t="s">
        <v>251</v>
      </c>
      <c r="K54" s="14" t="s">
        <v>257</v>
      </c>
      <c r="L54" s="15" t="s">
        <v>258</v>
      </c>
      <c r="M54" s="7" t="str">
        <f t="shared" si="1"/>
        <v>Helianthemum oelandicum subsp. incanum</v>
      </c>
    </row>
    <row r="55" spans="1:13" ht="15.6" x14ac:dyDescent="0.3">
      <c r="A55" s="11" t="s">
        <v>1372</v>
      </c>
      <c r="B55" s="44" t="s">
        <v>63</v>
      </c>
      <c r="C55" s="11" t="s">
        <v>64</v>
      </c>
      <c r="D55" s="11" t="s">
        <v>263</v>
      </c>
      <c r="E55" s="12" t="s">
        <v>264</v>
      </c>
      <c r="F55" s="13">
        <v>41805</v>
      </c>
      <c r="G55" s="7" t="s">
        <v>66</v>
      </c>
      <c r="H55" s="1" t="str">
        <f t="shared" si="0"/>
        <v>30TVN408533: Cubillos del Rojo. Encinar, 901 m. 15-6-2014 [JG092]</v>
      </c>
      <c r="I55" s="14" t="s">
        <v>242</v>
      </c>
      <c r="J55" s="14" t="s">
        <v>251</v>
      </c>
      <c r="K55" s="14" t="s">
        <v>265</v>
      </c>
      <c r="L55" s="15"/>
      <c r="M55" s="7" t="str">
        <f t="shared" si="1"/>
        <v>Helianthemum violaceum</v>
      </c>
    </row>
    <row r="56" spans="1:13" ht="15.6" x14ac:dyDescent="0.3">
      <c r="A56" s="11" t="s">
        <v>1372</v>
      </c>
      <c r="B56" s="44" t="s">
        <v>267</v>
      </c>
      <c r="C56" s="11" t="s">
        <v>268</v>
      </c>
      <c r="D56" s="12" t="s">
        <v>266</v>
      </c>
      <c r="E56" s="12" t="s">
        <v>269</v>
      </c>
      <c r="F56" s="13">
        <v>41796</v>
      </c>
      <c r="G56" s="7" t="s">
        <v>144</v>
      </c>
      <c r="H56" s="1" t="str">
        <f t="shared" si="0"/>
        <v>30TVN367537: Hoz de Arreba. Quejigar, 732 m. 6-6-2014 [JG151]</v>
      </c>
      <c r="I56" s="14" t="s">
        <v>242</v>
      </c>
      <c r="J56" s="14" t="s">
        <v>251</v>
      </c>
      <c r="K56" s="14" t="s">
        <v>265</v>
      </c>
      <c r="L56" s="15"/>
      <c r="M56" s="7" t="str">
        <f t="shared" si="1"/>
        <v>Helianthemum violaceum</v>
      </c>
    </row>
    <row r="57" spans="1:13" ht="15.6" x14ac:dyDescent="0.3">
      <c r="A57" s="11" t="s">
        <v>1373</v>
      </c>
      <c r="B57" s="44" t="s">
        <v>68</v>
      </c>
      <c r="C57" s="11" t="s">
        <v>69</v>
      </c>
      <c r="D57" s="12" t="s">
        <v>270</v>
      </c>
      <c r="E57" s="12" t="s">
        <v>271</v>
      </c>
      <c r="F57" s="13">
        <v>41794</v>
      </c>
      <c r="G57" s="7" t="s">
        <v>71</v>
      </c>
      <c r="H57" s="1" t="str">
        <f t="shared" si="0"/>
        <v>30TVN373545: Hoz de Arreba. Encinar, 829 m. 4-6-2014 [JG119]</v>
      </c>
      <c r="I57" s="14" t="s">
        <v>272</v>
      </c>
      <c r="J57" s="14" t="s">
        <v>273</v>
      </c>
      <c r="K57" s="14" t="s">
        <v>274</v>
      </c>
      <c r="L57" s="15"/>
      <c r="M57" s="7" t="str">
        <f t="shared" si="1"/>
        <v>Achillea millefolium</v>
      </c>
    </row>
    <row r="58" spans="1:13" ht="15.6" x14ac:dyDescent="0.3">
      <c r="A58" s="11" t="s">
        <v>1374</v>
      </c>
      <c r="B58" s="44" t="s">
        <v>83</v>
      </c>
      <c r="C58" s="11" t="s">
        <v>84</v>
      </c>
      <c r="D58" s="17" t="s">
        <v>275</v>
      </c>
      <c r="E58" s="12" t="s">
        <v>276</v>
      </c>
      <c r="F58" s="13">
        <v>41798</v>
      </c>
      <c r="G58" s="7" t="s">
        <v>86</v>
      </c>
      <c r="H58" s="1" t="str">
        <f t="shared" si="0"/>
        <v>30TVN350545: Torres de Abajo. Encinar, 929 m. 8-6-2014 [JG058]</v>
      </c>
      <c r="I58" s="14" t="s">
        <v>272</v>
      </c>
      <c r="J58" s="14" t="s">
        <v>277</v>
      </c>
      <c r="K58" s="14" t="s">
        <v>278</v>
      </c>
      <c r="L58" s="15"/>
      <c r="M58" s="7" t="str">
        <f t="shared" si="1"/>
        <v>Bellis perennis</v>
      </c>
    </row>
    <row r="59" spans="1:13" ht="15.6" x14ac:dyDescent="0.3">
      <c r="A59" s="4" t="s">
        <v>1374</v>
      </c>
      <c r="B59" s="44" t="s">
        <v>223</v>
      </c>
      <c r="C59" s="4" t="s">
        <v>224</v>
      </c>
      <c r="D59" s="5" t="s">
        <v>279</v>
      </c>
      <c r="E59" s="5" t="s">
        <v>280</v>
      </c>
      <c r="F59" s="6">
        <v>41804</v>
      </c>
      <c r="G59" s="7" t="s">
        <v>94</v>
      </c>
      <c r="H59" s="1" t="str">
        <f t="shared" si="0"/>
        <v>30TVN287569: Cilleruelo de Bezana. Hayedo de Carrales. 14-6-2014 [JG201]</v>
      </c>
      <c r="I59" s="8" t="s">
        <v>272</v>
      </c>
      <c r="J59" s="8" t="s">
        <v>277</v>
      </c>
      <c r="K59" s="8" t="s">
        <v>278</v>
      </c>
      <c r="L59" s="9"/>
      <c r="M59" s="10" t="str">
        <f t="shared" si="1"/>
        <v>Bellis perennis</v>
      </c>
    </row>
    <row r="60" spans="1:13" ht="15.6" x14ac:dyDescent="0.3">
      <c r="A60" s="11" t="s">
        <v>1375</v>
      </c>
      <c r="B60" s="44" t="s">
        <v>172</v>
      </c>
      <c r="C60" s="11" t="s">
        <v>173</v>
      </c>
      <c r="D60" s="12" t="s">
        <v>281</v>
      </c>
      <c r="E60" s="12" t="s">
        <v>282</v>
      </c>
      <c r="F60" s="13">
        <v>41798</v>
      </c>
      <c r="G60" s="7" t="s">
        <v>86</v>
      </c>
      <c r="H60" s="1" t="str">
        <f t="shared" si="0"/>
        <v>30TVN365521: Munilla. Quejigar, 944 m. 8-6-2014 [JG370]</v>
      </c>
      <c r="I60" s="14" t="s">
        <v>272</v>
      </c>
      <c r="J60" s="14" t="s">
        <v>277</v>
      </c>
      <c r="K60" s="14" t="s">
        <v>283</v>
      </c>
      <c r="L60" s="15"/>
      <c r="M60" s="7" t="str">
        <f t="shared" si="1"/>
        <v>Bellis sylvestris</v>
      </c>
    </row>
    <row r="61" spans="1:13" ht="15.6" x14ac:dyDescent="0.3">
      <c r="A61" s="4" t="s">
        <v>1376</v>
      </c>
      <c r="B61" s="44" t="s">
        <v>29</v>
      </c>
      <c r="C61" s="5" t="s">
        <v>30</v>
      </c>
      <c r="D61" s="5" t="s">
        <v>284</v>
      </c>
      <c r="E61" s="5" t="s">
        <v>285</v>
      </c>
      <c r="F61" s="6">
        <v>41806</v>
      </c>
      <c r="G61" s="7" t="s">
        <v>32</v>
      </c>
      <c r="H61" s="1" t="str">
        <f t="shared" si="0"/>
        <v>30TVN369591: Argomedo. Melojar, 900 m. 16-6-2014 [JG012]</v>
      </c>
      <c r="I61" s="8" t="s">
        <v>272</v>
      </c>
      <c r="J61" s="8" t="s">
        <v>286</v>
      </c>
      <c r="K61" s="8" t="s">
        <v>287</v>
      </c>
      <c r="L61" s="9"/>
      <c r="M61" s="10" t="str">
        <f t="shared" si="1"/>
        <v>Carduncellus mitissimus</v>
      </c>
    </row>
    <row r="62" spans="1:13" ht="15.6" x14ac:dyDescent="0.3">
      <c r="A62" s="11" t="s">
        <v>1376</v>
      </c>
      <c r="B62" s="44" t="s">
        <v>172</v>
      </c>
      <c r="C62" s="11" t="s">
        <v>173</v>
      </c>
      <c r="D62" s="12" t="s">
        <v>288</v>
      </c>
      <c r="E62" s="12" t="s">
        <v>289</v>
      </c>
      <c r="F62" s="13">
        <v>41798</v>
      </c>
      <c r="G62" s="7" t="s">
        <v>86</v>
      </c>
      <c r="H62" s="1" t="str">
        <f t="shared" si="0"/>
        <v>30TVN365521: Munilla. Quejigar, 944 m. 8-6-2014 [JG371]</v>
      </c>
      <c r="I62" s="14" t="s">
        <v>272</v>
      </c>
      <c r="J62" s="14" t="s">
        <v>286</v>
      </c>
      <c r="K62" s="14" t="s">
        <v>287</v>
      </c>
      <c r="L62" s="15"/>
      <c r="M62" s="7" t="str">
        <f t="shared" si="1"/>
        <v>Carduncellus mitissimus</v>
      </c>
    </row>
    <row r="63" spans="1:13" ht="15.6" x14ac:dyDescent="0.3">
      <c r="A63" s="11" t="s">
        <v>1377</v>
      </c>
      <c r="B63" s="44" t="s">
        <v>73</v>
      </c>
      <c r="C63" s="11" t="s">
        <v>74</v>
      </c>
      <c r="D63" s="12" t="s">
        <v>290</v>
      </c>
      <c r="E63" s="12" t="s">
        <v>291</v>
      </c>
      <c r="F63" s="13">
        <v>41805</v>
      </c>
      <c r="G63" s="7" t="s">
        <v>66</v>
      </c>
      <c r="H63" s="1" t="str">
        <f t="shared" si="0"/>
        <v>30TVN407532: Cubillos del Rojo. Quejigar, 894 m. 15-6-2014 [JG076]</v>
      </c>
      <c r="I63" s="14" t="s">
        <v>272</v>
      </c>
      <c r="J63" s="14" t="s">
        <v>292</v>
      </c>
      <c r="K63" s="14" t="s">
        <v>293</v>
      </c>
      <c r="L63" s="15"/>
      <c r="M63" s="7" t="str">
        <f t="shared" si="1"/>
        <v>Cirsium heterophyllum</v>
      </c>
    </row>
    <row r="64" spans="1:13" ht="15.6" x14ac:dyDescent="0.3">
      <c r="A64" s="11" t="s">
        <v>1378</v>
      </c>
      <c r="B64" s="44" t="s">
        <v>63</v>
      </c>
      <c r="C64" s="11" t="s">
        <v>64</v>
      </c>
      <c r="D64" s="17" t="s">
        <v>294</v>
      </c>
      <c r="E64" s="12" t="s">
        <v>295</v>
      </c>
      <c r="F64" s="13">
        <v>41805</v>
      </c>
      <c r="G64" s="7" t="s">
        <v>66</v>
      </c>
      <c r="H64" s="1" t="str">
        <f t="shared" si="0"/>
        <v>30TVN408533: Cubillos del Rojo. Encinar, 901 m. 15-6-2014 [JG093]</v>
      </c>
      <c r="I64" s="14" t="s">
        <v>272</v>
      </c>
      <c r="J64" s="14" t="s">
        <v>296</v>
      </c>
      <c r="K64" s="14" t="s">
        <v>297</v>
      </c>
      <c r="L64" s="15"/>
      <c r="M64" s="7" t="str">
        <f t="shared" si="1"/>
        <v>Helichrysum stoechas subsp. stoechas</v>
      </c>
    </row>
    <row r="65" spans="1:13" ht="15.6" x14ac:dyDescent="0.3">
      <c r="A65" s="11" t="s">
        <v>1378</v>
      </c>
      <c r="B65" s="44" t="s">
        <v>267</v>
      </c>
      <c r="C65" s="11" t="s">
        <v>268</v>
      </c>
      <c r="D65" s="12" t="s">
        <v>298</v>
      </c>
      <c r="E65" s="12" t="s">
        <v>299</v>
      </c>
      <c r="F65" s="13">
        <v>41796</v>
      </c>
      <c r="G65" s="7" t="s">
        <v>144</v>
      </c>
      <c r="H65" s="1" t="str">
        <f t="shared" si="0"/>
        <v>30TVN367537: Hoz de Arreba. Quejigar, 732 m. 6-6-2014 [JG152]</v>
      </c>
      <c r="I65" s="14" t="s">
        <v>272</v>
      </c>
      <c r="J65" s="14" t="s">
        <v>296</v>
      </c>
      <c r="K65" s="14" t="s">
        <v>297</v>
      </c>
      <c r="L65" s="15"/>
      <c r="M65" s="7" t="str">
        <f t="shared" si="1"/>
        <v>Helichrysum stoechas subsp. stoechas</v>
      </c>
    </row>
    <row r="66" spans="1:13" ht="15.6" x14ac:dyDescent="0.3">
      <c r="A66" s="11" t="s">
        <v>1378</v>
      </c>
      <c r="B66" s="44" t="s">
        <v>301</v>
      </c>
      <c r="C66" s="11" t="s">
        <v>302</v>
      </c>
      <c r="D66" s="17" t="s">
        <v>300</v>
      </c>
      <c r="E66" s="12" t="s">
        <v>303</v>
      </c>
      <c r="F66" s="13">
        <v>41798</v>
      </c>
      <c r="G66" s="7" t="s">
        <v>86</v>
      </c>
      <c r="H66" s="1" t="str">
        <f t="shared" ref="H66:H127" si="2">CONCATENATE(B66, ": ", C66, " ", G66, " ", "[", E66, "]")</f>
        <v>30TVN365530: Hoz de Arreba. Encinar, 883 m. 8-6-2014 [JG169]</v>
      </c>
      <c r="I66" s="14" t="s">
        <v>272</v>
      </c>
      <c r="J66" s="14" t="s">
        <v>296</v>
      </c>
      <c r="K66" s="14" t="s">
        <v>297</v>
      </c>
      <c r="L66" s="15"/>
      <c r="M66" s="7" t="str">
        <f t="shared" ref="M66:M129" si="3">CONCATENATE(J66," ",K66)</f>
        <v>Helichrysum stoechas subsp. stoechas</v>
      </c>
    </row>
    <row r="67" spans="1:13" ht="15.6" x14ac:dyDescent="0.3">
      <c r="A67" s="4" t="s">
        <v>1379</v>
      </c>
      <c r="B67" s="44" t="s">
        <v>21</v>
      </c>
      <c r="C67" s="4" t="s">
        <v>22</v>
      </c>
      <c r="D67" s="5" t="s">
        <v>304</v>
      </c>
      <c r="E67" s="5" t="s">
        <v>305</v>
      </c>
      <c r="F67" s="6">
        <v>41799</v>
      </c>
      <c r="G67" s="7" t="s">
        <v>24</v>
      </c>
      <c r="H67" s="1" t="str">
        <f t="shared" si="2"/>
        <v>30TVN383582: San Cibrián. Hayedo, 750 m. 9-6-2014 [JG269]</v>
      </c>
      <c r="I67" s="8" t="s">
        <v>272</v>
      </c>
      <c r="J67" s="8" t="s">
        <v>306</v>
      </c>
      <c r="K67" s="8" t="s">
        <v>307</v>
      </c>
      <c r="L67" s="9"/>
      <c r="M67" s="10" t="str">
        <f t="shared" si="3"/>
        <v>Hieracium prenanthoides</v>
      </c>
    </row>
    <row r="68" spans="1:13" ht="15.6" x14ac:dyDescent="0.3">
      <c r="A68" s="11" t="s">
        <v>1380</v>
      </c>
      <c r="B68" s="44" t="s">
        <v>267</v>
      </c>
      <c r="C68" s="11" t="s">
        <v>268</v>
      </c>
      <c r="D68" s="12" t="s">
        <v>308</v>
      </c>
      <c r="E68" s="12" t="s">
        <v>309</v>
      </c>
      <c r="F68" s="13">
        <v>41796</v>
      </c>
      <c r="G68" s="7" t="s">
        <v>144</v>
      </c>
      <c r="H68" s="1" t="str">
        <f t="shared" si="2"/>
        <v>30TVN367537: Hoz de Arreba. Quejigar, 732 m. 6-6-2014 [JG153]</v>
      </c>
      <c r="I68" s="14" t="s">
        <v>272</v>
      </c>
      <c r="J68" s="14" t="s">
        <v>310</v>
      </c>
      <c r="K68" s="14" t="s">
        <v>311</v>
      </c>
      <c r="L68" s="7"/>
      <c r="M68" s="7" t="str">
        <f t="shared" si="3"/>
        <v>Klasea nudicaulis</v>
      </c>
    </row>
    <row r="69" spans="1:13" ht="15.6" x14ac:dyDescent="0.3">
      <c r="A69" s="11" t="s">
        <v>1381</v>
      </c>
      <c r="B69" s="44" t="s">
        <v>55</v>
      </c>
      <c r="C69" s="11" t="s">
        <v>56</v>
      </c>
      <c r="D69" s="12" t="s">
        <v>312</v>
      </c>
      <c r="E69" s="12" t="s">
        <v>313</v>
      </c>
      <c r="F69" s="13">
        <v>41795</v>
      </c>
      <c r="G69" s="7" t="s">
        <v>58</v>
      </c>
      <c r="H69" s="1" t="str">
        <f t="shared" si="2"/>
        <v>30TVN364557: Torres de Abajo. Encinar, 855 m. 5-6-2014 [JG043]</v>
      </c>
      <c r="I69" s="14" t="s">
        <v>272</v>
      </c>
      <c r="J69" s="14" t="s">
        <v>314</v>
      </c>
      <c r="K69" s="14" t="s">
        <v>278</v>
      </c>
      <c r="L69" s="15"/>
      <c r="M69" s="7" t="str">
        <f t="shared" si="3"/>
        <v>Lactuca perennis</v>
      </c>
    </row>
    <row r="70" spans="1:13" ht="15.6" x14ac:dyDescent="0.3">
      <c r="A70" s="11" t="s">
        <v>1381</v>
      </c>
      <c r="B70" s="44" t="s">
        <v>63</v>
      </c>
      <c r="C70" s="11" t="s">
        <v>64</v>
      </c>
      <c r="D70" s="11" t="s">
        <v>315</v>
      </c>
      <c r="E70" s="12" t="s">
        <v>316</v>
      </c>
      <c r="F70" s="13">
        <v>41805</v>
      </c>
      <c r="G70" s="7" t="s">
        <v>66</v>
      </c>
      <c r="H70" s="1" t="str">
        <f t="shared" si="2"/>
        <v>30TVN408533: Cubillos del Rojo. Encinar, 901 m. 15-6-2014 [JG094]</v>
      </c>
      <c r="I70" s="14" t="s">
        <v>272</v>
      </c>
      <c r="J70" s="14" t="s">
        <v>314</v>
      </c>
      <c r="K70" s="14" t="s">
        <v>278</v>
      </c>
      <c r="L70" s="15"/>
      <c r="M70" s="7" t="str">
        <f t="shared" si="3"/>
        <v>Lactuca perennis</v>
      </c>
    </row>
    <row r="71" spans="1:13" ht="15.6" x14ac:dyDescent="0.3">
      <c r="A71" s="11" t="s">
        <v>1381</v>
      </c>
      <c r="B71" s="44" t="s">
        <v>301</v>
      </c>
      <c r="C71" s="11" t="s">
        <v>302</v>
      </c>
      <c r="D71" s="12" t="s">
        <v>317</v>
      </c>
      <c r="E71" s="12" t="s">
        <v>318</v>
      </c>
      <c r="F71" s="13">
        <v>41798</v>
      </c>
      <c r="G71" s="7" t="s">
        <v>86</v>
      </c>
      <c r="H71" s="1" t="str">
        <f t="shared" si="2"/>
        <v>30TVN365530: Hoz de Arreba. Encinar, 883 m. 8-6-2014 [JG170]</v>
      </c>
      <c r="I71" s="14" t="s">
        <v>272</v>
      </c>
      <c r="J71" s="14" t="s">
        <v>314</v>
      </c>
      <c r="K71" s="14" t="s">
        <v>278</v>
      </c>
      <c r="L71" s="15"/>
      <c r="M71" s="7" t="str">
        <f t="shared" si="3"/>
        <v>Lactuca perennis</v>
      </c>
    </row>
    <row r="72" spans="1:13" ht="15.6" x14ac:dyDescent="0.3">
      <c r="A72" s="11" t="s">
        <v>1382</v>
      </c>
      <c r="B72" s="44" t="s">
        <v>63</v>
      </c>
      <c r="C72" s="11" t="s">
        <v>64</v>
      </c>
      <c r="D72" s="11" t="s">
        <v>319</v>
      </c>
      <c r="E72" s="12" t="s">
        <v>320</v>
      </c>
      <c r="F72" s="13">
        <v>41805</v>
      </c>
      <c r="G72" s="7" t="s">
        <v>66</v>
      </c>
      <c r="H72" s="1" t="str">
        <f t="shared" si="2"/>
        <v>30TVN408533: Cubillos del Rojo. Encinar, 901 m. 15-6-2014 [JG095]</v>
      </c>
      <c r="I72" s="14" t="s">
        <v>272</v>
      </c>
      <c r="J72" s="14" t="s">
        <v>321</v>
      </c>
      <c r="K72" s="14" t="s">
        <v>322</v>
      </c>
      <c r="L72" s="15"/>
      <c r="M72" s="7" t="str">
        <f t="shared" si="3"/>
        <v>Leucanthemum vulgare subsp. eliasii</v>
      </c>
    </row>
    <row r="73" spans="1:13" ht="15.6" x14ac:dyDescent="0.3">
      <c r="A73" s="11" t="s">
        <v>1383</v>
      </c>
      <c r="B73" s="44" t="s">
        <v>55</v>
      </c>
      <c r="C73" s="11" t="s">
        <v>56</v>
      </c>
      <c r="D73" s="12" t="s">
        <v>323</v>
      </c>
      <c r="E73" s="12" t="s">
        <v>324</v>
      </c>
      <c r="F73" s="13">
        <v>41795</v>
      </c>
      <c r="G73" s="7" t="s">
        <v>58</v>
      </c>
      <c r="H73" s="1" t="str">
        <f t="shared" si="2"/>
        <v>30TVN364557: Torres de Abajo. Encinar, 855 m. 5-6-2014 [JG044]</v>
      </c>
      <c r="I73" s="14" t="s">
        <v>272</v>
      </c>
      <c r="J73" s="14" t="s">
        <v>325</v>
      </c>
      <c r="K73" s="14" t="s">
        <v>326</v>
      </c>
      <c r="L73" s="15"/>
      <c r="M73" s="7" t="str">
        <f t="shared" si="3"/>
        <v>Pilosella officinarum</v>
      </c>
    </row>
    <row r="74" spans="1:13" ht="15.6" x14ac:dyDescent="0.3">
      <c r="A74" s="11" t="s">
        <v>1383</v>
      </c>
      <c r="B74" s="44" t="s">
        <v>68</v>
      </c>
      <c r="C74" s="11" t="s">
        <v>69</v>
      </c>
      <c r="D74" s="12" t="s">
        <v>327</v>
      </c>
      <c r="E74" s="12" t="s">
        <v>328</v>
      </c>
      <c r="F74" s="13">
        <v>41794</v>
      </c>
      <c r="G74" s="7" t="s">
        <v>71</v>
      </c>
      <c r="H74" s="1" t="str">
        <f t="shared" si="2"/>
        <v>30TVN373545: Hoz de Arreba. Encinar, 829 m. 4-6-2014 [JG120]</v>
      </c>
      <c r="I74" s="14" t="s">
        <v>272</v>
      </c>
      <c r="J74" s="14" t="s">
        <v>325</v>
      </c>
      <c r="K74" s="14" t="s">
        <v>326</v>
      </c>
      <c r="L74" s="15"/>
      <c r="M74" s="7" t="str">
        <f t="shared" si="3"/>
        <v>Pilosella officinarum</v>
      </c>
    </row>
    <row r="75" spans="1:13" ht="15.6" x14ac:dyDescent="0.3">
      <c r="A75" s="11" t="s">
        <v>1383</v>
      </c>
      <c r="B75" s="44" t="s">
        <v>301</v>
      </c>
      <c r="C75" s="11" t="s">
        <v>302</v>
      </c>
      <c r="D75" s="17" t="s">
        <v>329</v>
      </c>
      <c r="E75" s="12" t="s">
        <v>330</v>
      </c>
      <c r="F75" s="13">
        <v>41798</v>
      </c>
      <c r="G75" s="7" t="s">
        <v>86</v>
      </c>
      <c r="H75" s="1" t="str">
        <f t="shared" si="2"/>
        <v>30TVN365530: Hoz de Arreba. Encinar, 883 m. 8-6-2014 [JG171]</v>
      </c>
      <c r="I75" s="14" t="s">
        <v>272</v>
      </c>
      <c r="J75" s="14" t="s">
        <v>325</v>
      </c>
      <c r="K75" s="14" t="s">
        <v>326</v>
      </c>
      <c r="L75" s="15"/>
      <c r="M75" s="7" t="str">
        <f t="shared" si="3"/>
        <v>Pilosella officinarum</v>
      </c>
    </row>
    <row r="76" spans="1:13" ht="15.6" x14ac:dyDescent="0.3">
      <c r="A76" s="4" t="s">
        <v>1383</v>
      </c>
      <c r="B76" s="44" t="s">
        <v>223</v>
      </c>
      <c r="C76" s="4" t="s">
        <v>224</v>
      </c>
      <c r="D76" s="5" t="s">
        <v>331</v>
      </c>
      <c r="E76" s="5" t="s">
        <v>332</v>
      </c>
      <c r="F76" s="6">
        <v>41804</v>
      </c>
      <c r="G76" s="7" t="s">
        <v>94</v>
      </c>
      <c r="H76" s="1" t="str">
        <f t="shared" si="2"/>
        <v>30TVN287569: Cilleruelo de Bezana. Hayedo de Carrales. 14-6-2014 [JG202]</v>
      </c>
      <c r="I76" s="8" t="s">
        <v>272</v>
      </c>
      <c r="J76" s="8" t="s">
        <v>325</v>
      </c>
      <c r="K76" s="8" t="s">
        <v>326</v>
      </c>
      <c r="L76" s="9"/>
      <c r="M76" s="10" t="str">
        <f t="shared" si="3"/>
        <v>Pilosella officinarum</v>
      </c>
    </row>
    <row r="77" spans="1:13" ht="15.6" x14ac:dyDescent="0.3">
      <c r="A77" s="11" t="s">
        <v>1384</v>
      </c>
      <c r="B77" s="44" t="s">
        <v>148</v>
      </c>
      <c r="C77" s="11" t="s">
        <v>149</v>
      </c>
      <c r="D77" s="12" t="s">
        <v>333</v>
      </c>
      <c r="E77" s="12" t="s">
        <v>334</v>
      </c>
      <c r="F77" s="13">
        <v>41799</v>
      </c>
      <c r="G77" s="7" t="s">
        <v>24</v>
      </c>
      <c r="H77" s="1" t="str">
        <f t="shared" si="2"/>
        <v>30TVN371543: Hoz de Arreba. Quejigar, 839 m. 9-6-2014 [JG140]</v>
      </c>
      <c r="I77" s="14" t="s">
        <v>272</v>
      </c>
      <c r="J77" s="14" t="s">
        <v>335</v>
      </c>
      <c r="K77" s="14" t="s">
        <v>336</v>
      </c>
      <c r="L77" s="15"/>
      <c r="M77" s="7" t="str">
        <f t="shared" si="3"/>
        <v>Xeranthemum inapertum</v>
      </c>
    </row>
    <row r="78" spans="1:13" ht="15.6" x14ac:dyDescent="0.3">
      <c r="A78" s="11" t="s">
        <v>1385</v>
      </c>
      <c r="B78" s="44" t="s">
        <v>55</v>
      </c>
      <c r="C78" s="11" t="s">
        <v>56</v>
      </c>
      <c r="D78" s="12" t="s">
        <v>337</v>
      </c>
      <c r="E78" s="12" t="s">
        <v>338</v>
      </c>
      <c r="F78" s="13">
        <v>41795</v>
      </c>
      <c r="G78" s="7" t="s">
        <v>58</v>
      </c>
      <c r="H78" s="1" t="str">
        <f t="shared" si="2"/>
        <v>30TVN364557: Torres de Abajo. Encinar, 855 m. 5-6-2014 [JG045]</v>
      </c>
      <c r="I78" s="14" t="s">
        <v>339</v>
      </c>
      <c r="J78" s="14" t="s">
        <v>340</v>
      </c>
      <c r="K78" s="14" t="s">
        <v>341</v>
      </c>
      <c r="L78" s="15"/>
      <c r="M78" s="7" t="str">
        <f t="shared" si="3"/>
        <v>Convolvulus cantabrica</v>
      </c>
    </row>
    <row r="79" spans="1:13" ht="15.6" x14ac:dyDescent="0.3">
      <c r="A79" s="11" t="s">
        <v>1385</v>
      </c>
      <c r="B79" s="44" t="s">
        <v>63</v>
      </c>
      <c r="C79" s="11" t="s">
        <v>64</v>
      </c>
      <c r="D79" s="11" t="s">
        <v>342</v>
      </c>
      <c r="E79" s="12" t="s">
        <v>343</v>
      </c>
      <c r="F79" s="13">
        <v>41805</v>
      </c>
      <c r="G79" s="7" t="s">
        <v>66</v>
      </c>
      <c r="H79" s="1" t="str">
        <f t="shared" si="2"/>
        <v>30TVN408533: Cubillos del Rojo. Encinar, 901 m. 15-6-2014 [JG096]</v>
      </c>
      <c r="I79" s="14" t="s">
        <v>339</v>
      </c>
      <c r="J79" s="14" t="s">
        <v>340</v>
      </c>
      <c r="K79" s="14" t="s">
        <v>341</v>
      </c>
      <c r="L79" s="15"/>
      <c r="M79" s="7" t="str">
        <f t="shared" si="3"/>
        <v>Convolvulus cantabrica</v>
      </c>
    </row>
    <row r="80" spans="1:13" ht="15.6" x14ac:dyDescent="0.3">
      <c r="A80" s="11" t="s">
        <v>1386</v>
      </c>
      <c r="B80" s="44" t="s">
        <v>345</v>
      </c>
      <c r="C80" s="11" t="s">
        <v>346</v>
      </c>
      <c r="D80" s="11" t="s">
        <v>344</v>
      </c>
      <c r="E80" s="12" t="s">
        <v>347</v>
      </c>
      <c r="F80" s="13">
        <v>41807</v>
      </c>
      <c r="G80" s="7" t="s">
        <v>190</v>
      </c>
      <c r="H80" s="1" t="str">
        <f t="shared" si="2"/>
        <v>30TVN369513: Munilla. Melojar, 805 m. 17-6-2014 [JG335]</v>
      </c>
      <c r="I80" s="14" t="s">
        <v>348</v>
      </c>
      <c r="J80" s="14" t="s">
        <v>349</v>
      </c>
      <c r="K80" s="14" t="s">
        <v>350</v>
      </c>
      <c r="L80" s="15"/>
      <c r="M80" s="7" t="str">
        <f t="shared" si="3"/>
        <v>Sedum forsterianum</v>
      </c>
    </row>
    <row r="81" spans="1:13" ht="15.6" x14ac:dyDescent="0.3">
      <c r="A81" s="4" t="s">
        <v>1387</v>
      </c>
      <c r="B81" s="44" t="s">
        <v>21</v>
      </c>
      <c r="C81" s="4" t="s">
        <v>22</v>
      </c>
      <c r="D81" s="5" t="s">
        <v>351</v>
      </c>
      <c r="E81" s="5" t="s">
        <v>352</v>
      </c>
      <c r="F81" s="6">
        <v>41799</v>
      </c>
      <c r="G81" s="7" t="s">
        <v>24</v>
      </c>
      <c r="H81" s="1" t="str">
        <f t="shared" si="2"/>
        <v>30TVN383582: San Cibrián. Hayedo, 750 m. 9-6-2014 [JG270]</v>
      </c>
      <c r="I81" s="8" t="s">
        <v>353</v>
      </c>
      <c r="J81" s="8" t="s">
        <v>354</v>
      </c>
      <c r="K81" s="8" t="s">
        <v>355</v>
      </c>
      <c r="L81" s="9"/>
      <c r="M81" s="10" t="str">
        <f t="shared" si="3"/>
        <v>Alliaria petiolata</v>
      </c>
    </row>
    <row r="82" spans="1:13" ht="15.6" x14ac:dyDescent="0.3">
      <c r="A82" s="11" t="s">
        <v>1388</v>
      </c>
      <c r="B82" s="44" t="s">
        <v>63</v>
      </c>
      <c r="C82" s="11" t="s">
        <v>64</v>
      </c>
      <c r="D82" s="11" t="s">
        <v>356</v>
      </c>
      <c r="E82" s="12" t="s">
        <v>357</v>
      </c>
      <c r="F82" s="13">
        <v>41805</v>
      </c>
      <c r="G82" s="7" t="s">
        <v>66</v>
      </c>
      <c r="H82" s="1" t="str">
        <f t="shared" si="2"/>
        <v>30TVN408533: Cubillos del Rojo. Encinar, 901 m. 15-6-2014 [JG097]</v>
      </c>
      <c r="I82" s="14" t="s">
        <v>353</v>
      </c>
      <c r="J82" s="14" t="s">
        <v>358</v>
      </c>
      <c r="K82" s="14" t="s">
        <v>359</v>
      </c>
      <c r="L82" s="15" t="s">
        <v>360</v>
      </c>
      <c r="M82" s="7" t="str">
        <f t="shared" si="3"/>
        <v>Biscutella valentina subsp. pyrenaica</v>
      </c>
    </row>
    <row r="83" spans="1:13" ht="15.6" x14ac:dyDescent="0.3">
      <c r="A83" s="11" t="s">
        <v>1389</v>
      </c>
      <c r="B83" s="44" t="s">
        <v>172</v>
      </c>
      <c r="C83" s="11" t="s">
        <v>173</v>
      </c>
      <c r="D83" s="12" t="s">
        <v>361</v>
      </c>
      <c r="E83" s="12" t="s">
        <v>362</v>
      </c>
      <c r="F83" s="13">
        <v>41798</v>
      </c>
      <c r="G83" s="7" t="s">
        <v>86</v>
      </c>
      <c r="H83" s="1" t="str">
        <f t="shared" si="2"/>
        <v>30TVN365521: Munilla. Quejigar, 944 m. 8-6-2014 [JG372]</v>
      </c>
      <c r="I83" s="14" t="s">
        <v>353</v>
      </c>
      <c r="J83" s="14" t="s">
        <v>363</v>
      </c>
      <c r="K83" s="14" t="s">
        <v>364</v>
      </c>
      <c r="L83" s="15"/>
      <c r="M83" s="7" t="str">
        <f t="shared" si="3"/>
        <v>Erucastrum nasturtiifolium subsp. nasturtiifolium</v>
      </c>
    </row>
    <row r="84" spans="1:13" ht="15.6" x14ac:dyDescent="0.3">
      <c r="A84" s="11" t="s">
        <v>1390</v>
      </c>
      <c r="B84" s="44" t="s">
        <v>73</v>
      </c>
      <c r="C84" s="11" t="s">
        <v>74</v>
      </c>
      <c r="D84" s="21" t="s">
        <v>365</v>
      </c>
      <c r="E84" s="12" t="s">
        <v>366</v>
      </c>
      <c r="F84" s="13">
        <v>41805</v>
      </c>
      <c r="G84" s="7" t="s">
        <v>66</v>
      </c>
      <c r="H84" s="1" t="str">
        <f t="shared" si="2"/>
        <v>30TVN407532: Cubillos del Rojo. Quejigar, 894 m. 15-6-2014 [JG077]</v>
      </c>
      <c r="I84" s="14" t="s">
        <v>367</v>
      </c>
      <c r="J84" s="14" t="s">
        <v>368</v>
      </c>
      <c r="K84" s="14" t="s">
        <v>369</v>
      </c>
      <c r="L84" s="15"/>
      <c r="M84" s="7" t="str">
        <f t="shared" si="3"/>
        <v>Juniperus communis subsp. communis</v>
      </c>
    </row>
    <row r="85" spans="1:13" ht="15.6" x14ac:dyDescent="0.3">
      <c r="A85" s="11" t="s">
        <v>1391</v>
      </c>
      <c r="B85" s="44" t="s">
        <v>68</v>
      </c>
      <c r="C85" s="11" t="s">
        <v>69</v>
      </c>
      <c r="D85" s="17" t="s">
        <v>370</v>
      </c>
      <c r="E85" s="12" t="s">
        <v>371</v>
      </c>
      <c r="F85" s="13">
        <v>41784</v>
      </c>
      <c r="G85" s="7" t="s">
        <v>213</v>
      </c>
      <c r="H85" s="1" t="str">
        <f t="shared" si="2"/>
        <v>30TVN373545: Hoz de Arreba. Encinar, 829 m. 25-5-2014 [JG121]</v>
      </c>
      <c r="I85" s="19" t="s">
        <v>367</v>
      </c>
      <c r="J85" s="19" t="s">
        <v>368</v>
      </c>
      <c r="K85" s="14" t="s">
        <v>372</v>
      </c>
      <c r="L85" s="15"/>
      <c r="M85" s="7" t="str">
        <f t="shared" si="3"/>
        <v>Juniperus oxycedrus</v>
      </c>
    </row>
    <row r="86" spans="1:13" ht="15.6" x14ac:dyDescent="0.3">
      <c r="A86" s="11" t="s">
        <v>1391</v>
      </c>
      <c r="B86" s="44" t="s">
        <v>154</v>
      </c>
      <c r="C86" s="11" t="s">
        <v>155</v>
      </c>
      <c r="D86" s="17" t="s">
        <v>373</v>
      </c>
      <c r="E86" s="12" t="s">
        <v>374</v>
      </c>
      <c r="F86" s="13">
        <v>41795</v>
      </c>
      <c r="G86" s="7" t="s">
        <v>58</v>
      </c>
      <c r="H86" s="1" t="str">
        <f t="shared" si="2"/>
        <v>30TVN396513: Lándraves. Quejigar, 676 m. 5-6-2014 [JG192]</v>
      </c>
      <c r="I86" s="19" t="s">
        <v>367</v>
      </c>
      <c r="J86" s="19" t="s">
        <v>368</v>
      </c>
      <c r="K86" s="14" t="s">
        <v>372</v>
      </c>
      <c r="L86" s="15"/>
      <c r="M86" s="7" t="str">
        <f t="shared" si="3"/>
        <v>Juniperus oxycedrus</v>
      </c>
    </row>
    <row r="87" spans="1:13" ht="15.6" x14ac:dyDescent="0.3">
      <c r="A87" s="11" t="s">
        <v>1392</v>
      </c>
      <c r="B87" s="44" t="s">
        <v>154</v>
      </c>
      <c r="C87" s="11" t="s">
        <v>155</v>
      </c>
      <c r="D87" s="12" t="s">
        <v>375</v>
      </c>
      <c r="E87" s="12" t="s">
        <v>376</v>
      </c>
      <c r="F87" s="13">
        <v>41795</v>
      </c>
      <c r="G87" s="7" t="s">
        <v>58</v>
      </c>
      <c r="H87" s="1" t="str">
        <f t="shared" si="2"/>
        <v>30TVN396513: Lándraves. Quejigar, 676 m. 5-6-2014 [JG193]</v>
      </c>
      <c r="I87" s="19" t="s">
        <v>367</v>
      </c>
      <c r="J87" s="19" t="s">
        <v>368</v>
      </c>
      <c r="K87" s="14" t="s">
        <v>377</v>
      </c>
      <c r="L87" s="15"/>
      <c r="M87" s="7" t="str">
        <f t="shared" si="3"/>
        <v>Juniperus phoenicea subps. phoenicea</v>
      </c>
    </row>
    <row r="88" spans="1:13" ht="15.6" x14ac:dyDescent="0.3">
      <c r="A88" s="11" t="s">
        <v>1393</v>
      </c>
      <c r="B88" s="44" t="s">
        <v>148</v>
      </c>
      <c r="C88" s="11" t="s">
        <v>149</v>
      </c>
      <c r="D88" s="17" t="s">
        <v>378</v>
      </c>
      <c r="E88" s="12" t="s">
        <v>379</v>
      </c>
      <c r="F88" s="13">
        <v>41799</v>
      </c>
      <c r="G88" s="7" t="s">
        <v>24</v>
      </c>
      <c r="H88" s="1" t="str">
        <f t="shared" si="2"/>
        <v>30TVN371543: Hoz de Arreba. Quejigar, 839 m. 9-6-2014 [JG141]</v>
      </c>
      <c r="I88" s="14" t="s">
        <v>380</v>
      </c>
      <c r="J88" s="14" t="s">
        <v>381</v>
      </c>
      <c r="K88" s="14" t="s">
        <v>382</v>
      </c>
      <c r="L88" s="15"/>
      <c r="M88" s="7" t="str">
        <f t="shared" si="3"/>
        <v>Carex flacca</v>
      </c>
    </row>
    <row r="89" spans="1:13" ht="15.6" x14ac:dyDescent="0.3">
      <c r="A89" s="11" t="s">
        <v>1393</v>
      </c>
      <c r="B89" s="44" t="s">
        <v>384</v>
      </c>
      <c r="C89" s="11" t="s">
        <v>385</v>
      </c>
      <c r="D89" s="12" t="s">
        <v>383</v>
      </c>
      <c r="E89" s="12" t="s">
        <v>386</v>
      </c>
      <c r="F89" s="13">
        <v>41796</v>
      </c>
      <c r="G89" s="7" t="s">
        <v>144</v>
      </c>
      <c r="H89" s="1" t="str">
        <f t="shared" si="2"/>
        <v>30TVN356517: Munilla. Quejigar, 905 m. 6-6-2014 [JG354]</v>
      </c>
      <c r="I89" s="14" t="s">
        <v>380</v>
      </c>
      <c r="J89" s="14" t="s">
        <v>381</v>
      </c>
      <c r="K89" s="14" t="s">
        <v>382</v>
      </c>
      <c r="L89" s="15"/>
      <c r="M89" s="7" t="str">
        <f t="shared" si="3"/>
        <v>Carex flacca</v>
      </c>
    </row>
    <row r="90" spans="1:13" ht="15.6" x14ac:dyDescent="0.3">
      <c r="A90" s="11" t="s">
        <v>1394</v>
      </c>
      <c r="B90" s="44" t="s">
        <v>83</v>
      </c>
      <c r="C90" s="11" t="s">
        <v>84</v>
      </c>
      <c r="D90" s="17" t="s">
        <v>387</v>
      </c>
      <c r="E90" s="12" t="s">
        <v>388</v>
      </c>
      <c r="F90" s="13">
        <v>41798</v>
      </c>
      <c r="G90" s="7" t="s">
        <v>86</v>
      </c>
      <c r="H90" s="1" t="str">
        <f t="shared" si="2"/>
        <v>30TVN350545: Torres de Abajo. Encinar, 929 m. 8-6-2014 [JG059]</v>
      </c>
      <c r="I90" s="19" t="s">
        <v>380</v>
      </c>
      <c r="J90" s="14" t="s">
        <v>381</v>
      </c>
      <c r="K90" s="14" t="s">
        <v>389</v>
      </c>
      <c r="L90" s="15"/>
      <c r="M90" s="7" t="str">
        <f t="shared" si="3"/>
        <v>Carex hallerana</v>
      </c>
    </row>
    <row r="91" spans="1:13" ht="15.6" x14ac:dyDescent="0.3">
      <c r="A91" s="11" t="s">
        <v>1395</v>
      </c>
      <c r="B91" s="44" t="s">
        <v>391</v>
      </c>
      <c r="C91" s="11" t="s">
        <v>392</v>
      </c>
      <c r="D91" s="12" t="s">
        <v>390</v>
      </c>
      <c r="E91" s="12" t="s">
        <v>393</v>
      </c>
      <c r="F91" s="13">
        <v>41793</v>
      </c>
      <c r="G91" s="7" t="s">
        <v>195</v>
      </c>
      <c r="H91" s="1" t="str">
        <f t="shared" si="2"/>
        <v>30TVN332571: Montoto. Hayedo, 905 m. 3-6-2014 [JG261]</v>
      </c>
      <c r="I91" s="14" t="s">
        <v>380</v>
      </c>
      <c r="J91" s="14" t="s">
        <v>381</v>
      </c>
      <c r="K91" s="14" t="s">
        <v>394</v>
      </c>
      <c r="L91" s="15"/>
      <c r="M91" s="7" t="str">
        <f t="shared" si="3"/>
        <v>Carex remota</v>
      </c>
    </row>
    <row r="92" spans="1:13" ht="15.6" x14ac:dyDescent="0.3">
      <c r="A92" s="11" t="s">
        <v>1396</v>
      </c>
      <c r="B92" s="44" t="s">
        <v>391</v>
      </c>
      <c r="C92" s="11" t="s">
        <v>392</v>
      </c>
      <c r="D92" s="12" t="s">
        <v>395</v>
      </c>
      <c r="E92" s="12" t="s">
        <v>396</v>
      </c>
      <c r="F92" s="13">
        <v>41793</v>
      </c>
      <c r="G92" s="7" t="s">
        <v>195</v>
      </c>
      <c r="H92" s="1" t="str">
        <f t="shared" si="2"/>
        <v>30TVN332571: Montoto. Hayedo, 905 m. 3-6-2014 [JG262]</v>
      </c>
      <c r="I92" s="14" t="s">
        <v>380</v>
      </c>
      <c r="J92" s="14" t="s">
        <v>381</v>
      </c>
      <c r="K92" s="14" t="s">
        <v>397</v>
      </c>
      <c r="L92" s="15"/>
      <c r="M92" s="7" t="str">
        <f t="shared" si="3"/>
        <v>Carex sylvatica subsp. sylvatica</v>
      </c>
    </row>
    <row r="93" spans="1:13" ht="15.6" x14ac:dyDescent="0.3">
      <c r="A93" s="11" t="s">
        <v>1396</v>
      </c>
      <c r="B93" s="44" t="s">
        <v>43</v>
      </c>
      <c r="C93" s="11" t="s">
        <v>44</v>
      </c>
      <c r="D93" s="12" t="s">
        <v>398</v>
      </c>
      <c r="E93" s="12" t="s">
        <v>399</v>
      </c>
      <c r="F93" s="13">
        <v>41781</v>
      </c>
      <c r="G93" s="7" t="s">
        <v>38</v>
      </c>
      <c r="H93" s="1" t="str">
        <f t="shared" si="2"/>
        <v>30TVN387579: San Cibrián. Hayedo, 756 m. 22-5-2014 [JG286]</v>
      </c>
      <c r="I93" s="14" t="s">
        <v>380</v>
      </c>
      <c r="J93" s="14" t="s">
        <v>381</v>
      </c>
      <c r="K93" s="14" t="s">
        <v>397</v>
      </c>
      <c r="L93" s="15"/>
      <c r="M93" s="7" t="str">
        <f t="shared" si="3"/>
        <v>Carex sylvatica subsp. sylvatica</v>
      </c>
    </row>
    <row r="94" spans="1:13" ht="15.6" x14ac:dyDescent="0.3">
      <c r="A94" s="4" t="s">
        <v>1397</v>
      </c>
      <c r="B94" s="44" t="s">
        <v>29</v>
      </c>
      <c r="C94" s="5" t="s">
        <v>30</v>
      </c>
      <c r="D94" s="5" t="s">
        <v>400</v>
      </c>
      <c r="E94" s="5" t="s">
        <v>401</v>
      </c>
      <c r="F94" s="6">
        <v>41806</v>
      </c>
      <c r="G94" s="7" t="s">
        <v>32</v>
      </c>
      <c r="H94" s="1" t="str">
        <f t="shared" si="2"/>
        <v>30TVN369591: Argomedo. Melojar, 900 m. 16-6-2014 [JG013]</v>
      </c>
      <c r="I94" s="8" t="s">
        <v>402</v>
      </c>
      <c r="J94" s="8" t="s">
        <v>403</v>
      </c>
      <c r="K94" s="8" t="s">
        <v>404</v>
      </c>
      <c r="L94" s="9"/>
      <c r="M94" s="10" t="str">
        <f t="shared" si="3"/>
        <v>Tamus communis</v>
      </c>
    </row>
    <row r="95" spans="1:13" ht="15.6" x14ac:dyDescent="0.3">
      <c r="A95" s="11" t="s">
        <v>1397</v>
      </c>
      <c r="B95" s="44" t="s">
        <v>43</v>
      </c>
      <c r="C95" s="11" t="s">
        <v>44</v>
      </c>
      <c r="D95" s="12" t="s">
        <v>405</v>
      </c>
      <c r="E95" s="12" t="s">
        <v>406</v>
      </c>
      <c r="F95" s="13">
        <v>41792</v>
      </c>
      <c r="G95" s="7" t="s">
        <v>46</v>
      </c>
      <c r="H95" s="1" t="str">
        <f t="shared" si="2"/>
        <v>30TVN387579: San Cibrián. Hayedo, 756 m. 2-6-2014 [JG287]</v>
      </c>
      <c r="I95" s="14" t="s">
        <v>402</v>
      </c>
      <c r="J95" s="14" t="s">
        <v>403</v>
      </c>
      <c r="K95" s="14" t="s">
        <v>404</v>
      </c>
      <c r="L95" s="15"/>
      <c r="M95" s="7" t="str">
        <f t="shared" si="3"/>
        <v>Tamus communis</v>
      </c>
    </row>
    <row r="96" spans="1:13" ht="15.6" x14ac:dyDescent="0.3">
      <c r="A96" s="11" t="s">
        <v>1397</v>
      </c>
      <c r="B96" s="44" t="s">
        <v>187</v>
      </c>
      <c r="C96" s="11" t="s">
        <v>188</v>
      </c>
      <c r="D96" s="12" t="s">
        <v>407</v>
      </c>
      <c r="E96" s="12" t="s">
        <v>408</v>
      </c>
      <c r="F96" s="13">
        <v>41807</v>
      </c>
      <c r="G96" s="7" t="s">
        <v>190</v>
      </c>
      <c r="H96" s="1" t="str">
        <f t="shared" si="2"/>
        <v>30TVN366512: Munilla. Melojar, 764 m. 17-6-2014 [JG312]</v>
      </c>
      <c r="I96" s="14" t="s">
        <v>402</v>
      </c>
      <c r="J96" s="14" t="s">
        <v>403</v>
      </c>
      <c r="K96" s="14" t="s">
        <v>404</v>
      </c>
      <c r="L96" s="15"/>
      <c r="M96" s="7" t="str">
        <f t="shared" si="3"/>
        <v>Tamus communis</v>
      </c>
    </row>
    <row r="97" spans="1:13" ht="15.6" x14ac:dyDescent="0.3">
      <c r="A97" s="11" t="s">
        <v>1398</v>
      </c>
      <c r="B97" s="44" t="s">
        <v>63</v>
      </c>
      <c r="C97" s="11" t="s">
        <v>64</v>
      </c>
      <c r="D97" s="11" t="s">
        <v>409</v>
      </c>
      <c r="E97" s="12" t="s">
        <v>410</v>
      </c>
      <c r="F97" s="13">
        <v>41805</v>
      </c>
      <c r="G97" s="7" t="s">
        <v>66</v>
      </c>
      <c r="H97" s="1" t="str">
        <f t="shared" si="2"/>
        <v>30TVN408533: Cubillos del Rojo. Encinar, 901 m. 15-6-2014 [JG098]</v>
      </c>
      <c r="I97" s="14" t="s">
        <v>411</v>
      </c>
      <c r="J97" s="14" t="s">
        <v>412</v>
      </c>
      <c r="K97" s="14" t="s">
        <v>413</v>
      </c>
      <c r="L97" s="15" t="s">
        <v>414</v>
      </c>
      <c r="M97" s="7" t="str">
        <f t="shared" si="3"/>
        <v>Knautia nevadensis</v>
      </c>
    </row>
    <row r="98" spans="1:13" ht="15.6" x14ac:dyDescent="0.3">
      <c r="A98" s="11" t="s">
        <v>1399</v>
      </c>
      <c r="B98" s="44" t="s">
        <v>187</v>
      </c>
      <c r="C98" s="11" t="s">
        <v>188</v>
      </c>
      <c r="D98" s="17" t="s">
        <v>415</v>
      </c>
      <c r="E98" s="12" t="s">
        <v>416</v>
      </c>
      <c r="F98" s="13">
        <v>41807</v>
      </c>
      <c r="G98" s="7" t="s">
        <v>190</v>
      </c>
      <c r="H98" s="1" t="str">
        <f t="shared" si="2"/>
        <v>30TVN366512: Munilla. Melojar, 764 m. 17-6-2014 [JG313]</v>
      </c>
      <c r="I98" s="14" t="s">
        <v>417</v>
      </c>
      <c r="J98" s="14" t="s">
        <v>418</v>
      </c>
      <c r="K98" s="14" t="s">
        <v>341</v>
      </c>
      <c r="L98" s="16"/>
      <c r="M98" s="7" t="str">
        <f t="shared" si="3"/>
        <v>Daboecia cantabrica</v>
      </c>
    </row>
    <row r="99" spans="1:13" ht="15.6" x14ac:dyDescent="0.3">
      <c r="A99" s="11" t="s">
        <v>1400</v>
      </c>
      <c r="B99" s="44" t="s">
        <v>200</v>
      </c>
      <c r="C99" s="11" t="s">
        <v>201</v>
      </c>
      <c r="D99" s="11" t="s">
        <v>419</v>
      </c>
      <c r="E99" s="12" t="s">
        <v>420</v>
      </c>
      <c r="F99" s="13">
        <v>41800</v>
      </c>
      <c r="G99" s="7" t="s">
        <v>198</v>
      </c>
      <c r="H99" s="1" t="str">
        <f t="shared" si="2"/>
        <v>30TVN315593: Cilleruelo de Bezana. Carballeda, 910 m. 10-6-2014 [JG419]</v>
      </c>
      <c r="I99" s="14" t="s">
        <v>417</v>
      </c>
      <c r="J99" s="14" t="s">
        <v>421</v>
      </c>
      <c r="K99" s="14" t="s">
        <v>422</v>
      </c>
      <c r="L99" s="15"/>
      <c r="M99" s="7" t="str">
        <f t="shared" si="3"/>
        <v>Erica arborea</v>
      </c>
    </row>
    <row r="100" spans="1:13" ht="15.6" x14ac:dyDescent="0.3">
      <c r="A100" s="11" t="s">
        <v>1401</v>
      </c>
      <c r="B100" s="44" t="s">
        <v>55</v>
      </c>
      <c r="C100" s="11" t="s">
        <v>56</v>
      </c>
      <c r="D100" s="12" t="s">
        <v>423</v>
      </c>
      <c r="E100" s="12" t="s">
        <v>424</v>
      </c>
      <c r="F100" s="13">
        <v>41795</v>
      </c>
      <c r="G100" s="7" t="s">
        <v>58</v>
      </c>
      <c r="H100" s="1" t="str">
        <f t="shared" si="2"/>
        <v>30TVN364557: Torres de Abajo. Encinar, 855 m. 5-6-2014 [JG046]</v>
      </c>
      <c r="I100" s="14" t="s">
        <v>417</v>
      </c>
      <c r="J100" s="14" t="s">
        <v>421</v>
      </c>
      <c r="K100" s="14" t="s">
        <v>425</v>
      </c>
      <c r="L100" s="15"/>
      <c r="M100" s="7" t="str">
        <f t="shared" si="3"/>
        <v>Erica cinerea</v>
      </c>
    </row>
    <row r="101" spans="1:13" ht="15.6" x14ac:dyDescent="0.3">
      <c r="A101" s="11" t="s">
        <v>1402</v>
      </c>
      <c r="B101" s="44" t="s">
        <v>55</v>
      </c>
      <c r="C101" s="11" t="s">
        <v>56</v>
      </c>
      <c r="D101" s="12" t="s">
        <v>426</v>
      </c>
      <c r="E101" s="12" t="s">
        <v>427</v>
      </c>
      <c r="F101" s="13">
        <v>41919</v>
      </c>
      <c r="G101" s="7" t="s">
        <v>428</v>
      </c>
      <c r="H101" s="1" t="str">
        <f t="shared" si="2"/>
        <v>30TVN364557: Torres de Abajo. Encinar, 855 m. 7-10-2014 [JG047]</v>
      </c>
      <c r="I101" s="14" t="s">
        <v>417</v>
      </c>
      <c r="J101" s="14" t="s">
        <v>421</v>
      </c>
      <c r="K101" s="14" t="s">
        <v>429</v>
      </c>
      <c r="L101" s="15"/>
      <c r="M101" s="7" t="str">
        <f t="shared" si="3"/>
        <v>Erica vagans</v>
      </c>
    </row>
    <row r="102" spans="1:13" ht="15.6" x14ac:dyDescent="0.3">
      <c r="A102" s="11" t="s">
        <v>1403</v>
      </c>
      <c r="B102" s="44" t="s">
        <v>35</v>
      </c>
      <c r="C102" s="11" t="s">
        <v>36</v>
      </c>
      <c r="D102" s="12" t="s">
        <v>430</v>
      </c>
      <c r="E102" s="12" t="s">
        <v>431</v>
      </c>
      <c r="F102" s="13">
        <v>41746</v>
      </c>
      <c r="G102" s="7" t="s">
        <v>230</v>
      </c>
      <c r="H102" s="1" t="str">
        <f t="shared" si="2"/>
        <v>30TVN324545: Cilleruelo de Bezana. Hayedo de Carrales, 962 m. 17-4-2014 [JG214]</v>
      </c>
      <c r="I102" s="14" t="s">
        <v>432</v>
      </c>
      <c r="J102" s="14" t="s">
        <v>433</v>
      </c>
      <c r="K102" s="14" t="s">
        <v>434</v>
      </c>
      <c r="L102" s="15"/>
      <c r="M102" s="7" t="str">
        <f t="shared" si="3"/>
        <v>Euphorbia amygdaloides subsp. amygdaloides</v>
      </c>
    </row>
    <row r="103" spans="1:13" ht="15.6" x14ac:dyDescent="0.3">
      <c r="A103" s="4" t="s">
        <v>1403</v>
      </c>
      <c r="B103" s="44" t="s">
        <v>21</v>
      </c>
      <c r="C103" s="4" t="s">
        <v>22</v>
      </c>
      <c r="D103" s="5" t="s">
        <v>435</v>
      </c>
      <c r="E103" s="5" t="s">
        <v>436</v>
      </c>
      <c r="F103" s="6">
        <v>41799</v>
      </c>
      <c r="G103" s="7" t="s">
        <v>24</v>
      </c>
      <c r="H103" s="1" t="str">
        <f t="shared" si="2"/>
        <v>30TVN383582: San Cibrián. Hayedo, 750 m. 9-6-2014 [JG271]</v>
      </c>
      <c r="I103" s="8" t="s">
        <v>432</v>
      </c>
      <c r="J103" s="8" t="s">
        <v>433</v>
      </c>
      <c r="K103" s="8" t="s">
        <v>434</v>
      </c>
      <c r="L103" s="9"/>
      <c r="M103" s="10" t="str">
        <f t="shared" si="3"/>
        <v>Euphorbia amygdaloides subsp. amygdaloides</v>
      </c>
    </row>
    <row r="104" spans="1:13" ht="15.6" x14ac:dyDescent="0.3">
      <c r="A104" s="11" t="s">
        <v>1404</v>
      </c>
      <c r="B104" s="44" t="s">
        <v>154</v>
      </c>
      <c r="C104" s="11" t="s">
        <v>155</v>
      </c>
      <c r="D104" s="12" t="s">
        <v>437</v>
      </c>
      <c r="E104" s="12" t="s">
        <v>438</v>
      </c>
      <c r="F104" s="13">
        <v>41795</v>
      </c>
      <c r="G104" s="7" t="s">
        <v>58</v>
      </c>
      <c r="H104" s="1" t="str">
        <f t="shared" si="2"/>
        <v>30TVN396513: Lándraves. Quejigar, 676 m. 5-6-2014 [JG194]</v>
      </c>
      <c r="I104" s="14" t="s">
        <v>432</v>
      </c>
      <c r="J104" s="14" t="s">
        <v>433</v>
      </c>
      <c r="K104" s="14" t="s">
        <v>439</v>
      </c>
      <c r="L104" s="15"/>
      <c r="M104" s="7" t="str">
        <f t="shared" si="3"/>
        <v>Euphorbia angulata</v>
      </c>
    </row>
    <row r="105" spans="1:13" ht="15.6" x14ac:dyDescent="0.3">
      <c r="A105" s="11" t="s">
        <v>1405</v>
      </c>
      <c r="B105" s="44" t="s">
        <v>301</v>
      </c>
      <c r="C105" s="11" t="s">
        <v>302</v>
      </c>
      <c r="D105" s="17" t="s">
        <v>440</v>
      </c>
      <c r="E105" s="12" t="s">
        <v>441</v>
      </c>
      <c r="F105" s="13">
        <v>41798</v>
      </c>
      <c r="G105" s="7" t="s">
        <v>86</v>
      </c>
      <c r="H105" s="1" t="str">
        <f t="shared" si="2"/>
        <v>30TVN365530: Hoz de Arreba. Encinar, 883 m. 8-6-2014 [JG172]</v>
      </c>
      <c r="I105" s="14" t="s">
        <v>432</v>
      </c>
      <c r="J105" s="14" t="s">
        <v>433</v>
      </c>
      <c r="K105" s="14" t="s">
        <v>442</v>
      </c>
      <c r="L105" s="15"/>
      <c r="M105" s="7" t="str">
        <f t="shared" si="3"/>
        <v>Euphorbia exigua subsp. exigua</v>
      </c>
    </row>
    <row r="106" spans="1:13" ht="15.6" x14ac:dyDescent="0.3">
      <c r="A106" s="4" t="s">
        <v>1406</v>
      </c>
      <c r="B106" s="44" t="s">
        <v>223</v>
      </c>
      <c r="C106" s="4" t="s">
        <v>224</v>
      </c>
      <c r="D106" s="20" t="s">
        <v>443</v>
      </c>
      <c r="E106" s="5" t="s">
        <v>444</v>
      </c>
      <c r="F106" s="6">
        <v>41804</v>
      </c>
      <c r="G106" s="7" t="s">
        <v>94</v>
      </c>
      <c r="H106" s="1" t="str">
        <f t="shared" si="2"/>
        <v>30TVN287569: Cilleruelo de Bezana. Hayedo de Carrales. 14-6-2014 [JG203]</v>
      </c>
      <c r="I106" s="18" t="s">
        <v>432</v>
      </c>
      <c r="J106" s="18" t="s">
        <v>433</v>
      </c>
      <c r="K106" s="8" t="s">
        <v>445</v>
      </c>
      <c r="L106" s="9"/>
      <c r="M106" s="10" t="str">
        <f t="shared" si="3"/>
        <v>Euphorbia hyberna subsp. hyberna</v>
      </c>
    </row>
    <row r="107" spans="1:13" ht="15.6" x14ac:dyDescent="0.3">
      <c r="A107" s="11" t="s">
        <v>1406</v>
      </c>
      <c r="B107" s="44" t="s">
        <v>35</v>
      </c>
      <c r="C107" s="11" t="s">
        <v>36</v>
      </c>
      <c r="D107" s="12" t="s">
        <v>446</v>
      </c>
      <c r="E107" s="12" t="s">
        <v>447</v>
      </c>
      <c r="F107" s="13">
        <v>41792</v>
      </c>
      <c r="G107" s="7" t="s">
        <v>46</v>
      </c>
      <c r="H107" s="1" t="str">
        <f t="shared" si="2"/>
        <v>30TVN324545: Cilleruelo de Bezana. Hayedo de Carrales, 962 m. 2-6-2014 [JG215]</v>
      </c>
      <c r="I107" s="19" t="s">
        <v>432</v>
      </c>
      <c r="J107" s="19" t="s">
        <v>433</v>
      </c>
      <c r="K107" s="14" t="s">
        <v>445</v>
      </c>
      <c r="L107" s="15"/>
      <c r="M107" s="7" t="str">
        <f t="shared" si="3"/>
        <v>Euphorbia hyberna subsp. hyberna</v>
      </c>
    </row>
    <row r="108" spans="1:13" ht="15.6" x14ac:dyDescent="0.3">
      <c r="A108" s="11" t="s">
        <v>1406</v>
      </c>
      <c r="B108" s="44" t="s">
        <v>91</v>
      </c>
      <c r="C108" s="11" t="s">
        <v>92</v>
      </c>
      <c r="D108" s="17" t="s">
        <v>448</v>
      </c>
      <c r="E108" s="12" t="s">
        <v>449</v>
      </c>
      <c r="F108" s="13">
        <v>41804</v>
      </c>
      <c r="G108" s="7" t="s">
        <v>94</v>
      </c>
      <c r="H108" s="1" t="str">
        <f t="shared" si="2"/>
        <v>30TVN339539: Cilleruelo de Bezana. Hayedo de Carrales, 986 m. 14-6-2014 [JG240]</v>
      </c>
      <c r="I108" s="14" t="s">
        <v>432</v>
      </c>
      <c r="J108" s="14" t="s">
        <v>433</v>
      </c>
      <c r="K108" s="14" t="s">
        <v>445</v>
      </c>
      <c r="L108" s="16"/>
      <c r="M108" s="7" t="str">
        <f t="shared" si="3"/>
        <v>Euphorbia hyberna subsp. hyberna</v>
      </c>
    </row>
    <row r="109" spans="1:13" ht="15.6" x14ac:dyDescent="0.3">
      <c r="A109" s="11" t="s">
        <v>1406</v>
      </c>
      <c r="B109" s="44" t="s">
        <v>451</v>
      </c>
      <c r="C109" s="11" t="s">
        <v>452</v>
      </c>
      <c r="D109" s="12" t="s">
        <v>450</v>
      </c>
      <c r="E109" s="12" t="s">
        <v>453</v>
      </c>
      <c r="F109" s="13">
        <v>41792</v>
      </c>
      <c r="G109" s="7" t="s">
        <v>46</v>
      </c>
      <c r="H109" s="1" t="str">
        <f t="shared" si="2"/>
        <v>30TVN359563: Torres de Abajo. Hayedo, 887 m. 2-6-2014 [JG255]</v>
      </c>
      <c r="I109" s="14" t="s">
        <v>432</v>
      </c>
      <c r="J109" s="14" t="s">
        <v>433</v>
      </c>
      <c r="K109" s="14" t="s">
        <v>445</v>
      </c>
      <c r="L109" s="7"/>
      <c r="M109" s="7" t="str">
        <f t="shared" si="3"/>
        <v>Euphorbia hyberna subsp. hyberna</v>
      </c>
    </row>
    <row r="110" spans="1:13" ht="15.6" x14ac:dyDescent="0.3">
      <c r="A110" s="4" t="s">
        <v>1407</v>
      </c>
      <c r="B110" s="44" t="s">
        <v>223</v>
      </c>
      <c r="C110" s="4" t="s">
        <v>224</v>
      </c>
      <c r="D110" s="20" t="s">
        <v>454</v>
      </c>
      <c r="E110" s="5" t="s">
        <v>455</v>
      </c>
      <c r="F110" s="6">
        <v>41804</v>
      </c>
      <c r="G110" s="7" t="s">
        <v>94</v>
      </c>
      <c r="H110" s="1" t="str">
        <f t="shared" si="2"/>
        <v>30TVN287569: Cilleruelo de Bezana. Hayedo de Carrales. 14-6-2014 [JG204]</v>
      </c>
      <c r="I110" s="18" t="s">
        <v>432</v>
      </c>
      <c r="J110" s="18" t="s">
        <v>433</v>
      </c>
      <c r="K110" s="8" t="s">
        <v>456</v>
      </c>
      <c r="L110" s="9"/>
      <c r="M110" s="10" t="str">
        <f t="shared" si="3"/>
        <v>Euphorbia polygalifolia subsp. polygalifolia</v>
      </c>
    </row>
    <row r="111" spans="1:13" ht="15.6" x14ac:dyDescent="0.3">
      <c r="A111" s="11" t="s">
        <v>1408</v>
      </c>
      <c r="B111" s="44" t="s">
        <v>63</v>
      </c>
      <c r="C111" s="11" t="s">
        <v>64</v>
      </c>
      <c r="D111" s="11" t="s">
        <v>457</v>
      </c>
      <c r="E111" s="12" t="s">
        <v>458</v>
      </c>
      <c r="F111" s="13">
        <v>41805</v>
      </c>
      <c r="G111" s="7" t="s">
        <v>66</v>
      </c>
      <c r="H111" s="1" t="str">
        <f t="shared" si="2"/>
        <v>30TVN408533: Cubillos del Rojo. Encinar, 901 m. 15-6-2014 [JG099]</v>
      </c>
      <c r="I111" s="14" t="s">
        <v>432</v>
      </c>
      <c r="J111" s="14" t="s">
        <v>433</v>
      </c>
      <c r="K111" s="14" t="s">
        <v>459</v>
      </c>
      <c r="L111" s="15"/>
      <c r="M111" s="7" t="str">
        <f t="shared" si="3"/>
        <v>Euphorbia segetalis</v>
      </c>
    </row>
    <row r="112" spans="1:13" ht="15.6" x14ac:dyDescent="0.3">
      <c r="A112" s="11" t="s">
        <v>1409</v>
      </c>
      <c r="B112" s="44" t="s">
        <v>35</v>
      </c>
      <c r="C112" s="11" t="s">
        <v>36</v>
      </c>
      <c r="D112" s="12" t="s">
        <v>460</v>
      </c>
      <c r="E112" s="12" t="s">
        <v>461</v>
      </c>
      <c r="F112" s="13">
        <v>41792</v>
      </c>
      <c r="G112" s="7" t="s">
        <v>46</v>
      </c>
      <c r="H112" s="1" t="str">
        <f t="shared" si="2"/>
        <v>30TVN324545: Cilleruelo de Bezana. Hayedo de Carrales, 962 m. 2-6-2014 [JG216]</v>
      </c>
      <c r="I112" s="19" t="s">
        <v>432</v>
      </c>
      <c r="J112" s="19" t="s">
        <v>433</v>
      </c>
      <c r="K112" s="14" t="s">
        <v>462</v>
      </c>
      <c r="L112" s="16"/>
      <c r="M112" s="7" t="str">
        <f t="shared" si="3"/>
        <v>Euphorbia villosa</v>
      </c>
    </row>
    <row r="113" spans="1:13" ht="15.6" x14ac:dyDescent="0.3">
      <c r="A113" s="11" t="s">
        <v>1409</v>
      </c>
      <c r="B113" s="44" t="s">
        <v>172</v>
      </c>
      <c r="C113" s="11" t="s">
        <v>173</v>
      </c>
      <c r="D113" s="12" t="s">
        <v>463</v>
      </c>
      <c r="E113" s="12" t="s">
        <v>464</v>
      </c>
      <c r="F113" s="13">
        <v>41798</v>
      </c>
      <c r="G113" s="7" t="s">
        <v>86</v>
      </c>
      <c r="H113" s="1" t="str">
        <f t="shared" si="2"/>
        <v>30TVN365521: Munilla. Quejigar, 944 m. 8-6-2014 [JG373]</v>
      </c>
      <c r="I113" s="14" t="s">
        <v>432</v>
      </c>
      <c r="J113" s="14" t="s">
        <v>433</v>
      </c>
      <c r="K113" s="14" t="s">
        <v>462</v>
      </c>
      <c r="L113" s="15"/>
      <c r="M113" s="7" t="str">
        <f t="shared" si="3"/>
        <v>Euphorbia villosa</v>
      </c>
    </row>
    <row r="114" spans="1:13" ht="15.6" x14ac:dyDescent="0.3">
      <c r="A114" s="11" t="s">
        <v>1409</v>
      </c>
      <c r="B114" s="44" t="s">
        <v>466</v>
      </c>
      <c r="C114" s="11" t="s">
        <v>467</v>
      </c>
      <c r="D114" s="12" t="s">
        <v>465</v>
      </c>
      <c r="E114" s="12" t="s">
        <v>468</v>
      </c>
      <c r="F114" s="13">
        <v>41783</v>
      </c>
      <c r="G114" s="7" t="s">
        <v>121</v>
      </c>
      <c r="H114" s="1" t="str">
        <f t="shared" si="2"/>
        <v>30TVN308598: Cilleruelo de Bezana. Carballeda, 927 m. 24-5-2014 [JG415]</v>
      </c>
      <c r="I114" s="19" t="s">
        <v>432</v>
      </c>
      <c r="J114" s="19" t="s">
        <v>433</v>
      </c>
      <c r="K114" s="14" t="s">
        <v>462</v>
      </c>
      <c r="L114" s="15"/>
      <c r="M114" s="7" t="str">
        <f t="shared" si="3"/>
        <v>Euphorbia villosa</v>
      </c>
    </row>
    <row r="115" spans="1:13" ht="15.6" x14ac:dyDescent="0.3">
      <c r="A115" s="11" t="s">
        <v>1410</v>
      </c>
      <c r="B115" s="44" t="s">
        <v>35</v>
      </c>
      <c r="C115" s="11" t="s">
        <v>36</v>
      </c>
      <c r="D115" s="12" t="s">
        <v>469</v>
      </c>
      <c r="E115" s="12" t="s">
        <v>470</v>
      </c>
      <c r="F115" s="13">
        <v>41781</v>
      </c>
      <c r="G115" s="7" t="s">
        <v>38</v>
      </c>
      <c r="H115" s="1" t="str">
        <f t="shared" si="2"/>
        <v>30TVN324545: Cilleruelo de Bezana. Hayedo de Carrales, 962 m. 22-5-2014 [JG217]</v>
      </c>
      <c r="I115" s="14" t="s">
        <v>471</v>
      </c>
      <c r="J115" s="14" t="s">
        <v>472</v>
      </c>
      <c r="K115" s="14" t="s">
        <v>473</v>
      </c>
      <c r="L115" s="15"/>
      <c r="M115" s="7" t="str">
        <f t="shared" si="3"/>
        <v>Fagus sylvatica</v>
      </c>
    </row>
    <row r="116" spans="1:13" ht="15.6" x14ac:dyDescent="0.3">
      <c r="A116" s="11" t="s">
        <v>1411</v>
      </c>
      <c r="B116" s="44" t="s">
        <v>267</v>
      </c>
      <c r="C116" s="11" t="s">
        <v>268</v>
      </c>
      <c r="D116" s="12" t="s">
        <v>474</v>
      </c>
      <c r="E116" s="12" t="s">
        <v>475</v>
      </c>
      <c r="F116" s="13">
        <v>41796</v>
      </c>
      <c r="G116" s="7" t="s">
        <v>144</v>
      </c>
      <c r="H116" s="1" t="str">
        <f t="shared" si="2"/>
        <v>30TVN367537: Hoz de Arreba. Quejigar, 732 m. 6-6-2014 [JG154]</v>
      </c>
      <c r="I116" s="14" t="s">
        <v>471</v>
      </c>
      <c r="J116" s="14" t="s">
        <v>476</v>
      </c>
      <c r="K116" s="14" t="s">
        <v>477</v>
      </c>
      <c r="L116" s="15"/>
      <c r="M116" s="7" t="str">
        <f t="shared" si="3"/>
        <v>Quercus faginea subsp. faginea</v>
      </c>
    </row>
    <row r="117" spans="1:13" ht="15.6" x14ac:dyDescent="0.3">
      <c r="A117" s="11" t="s">
        <v>1412</v>
      </c>
      <c r="B117" s="44" t="s">
        <v>68</v>
      </c>
      <c r="C117" s="11" t="s">
        <v>69</v>
      </c>
      <c r="D117" s="12" t="s">
        <v>478</v>
      </c>
      <c r="E117" s="12" t="s">
        <v>479</v>
      </c>
      <c r="F117" s="13">
        <v>41783</v>
      </c>
      <c r="G117" s="7" t="s">
        <v>121</v>
      </c>
      <c r="H117" s="1" t="str">
        <f t="shared" si="2"/>
        <v>30TVN373545: Hoz de Arreba. Encinar, 829 m. 24-5-2014 [JG122]</v>
      </c>
      <c r="I117" s="14" t="s">
        <v>471</v>
      </c>
      <c r="J117" s="14" t="s">
        <v>476</v>
      </c>
      <c r="K117" s="14" t="s">
        <v>480</v>
      </c>
      <c r="L117" s="15"/>
      <c r="M117" s="7" t="str">
        <f t="shared" si="3"/>
        <v>Quercus ilex subsp. ballota</v>
      </c>
    </row>
    <row r="118" spans="1:13" ht="15.6" x14ac:dyDescent="0.3">
      <c r="A118" s="11" t="s">
        <v>1413</v>
      </c>
      <c r="B118" s="44" t="s">
        <v>187</v>
      </c>
      <c r="C118" s="11" t="s">
        <v>188</v>
      </c>
      <c r="D118" s="12" t="s">
        <v>481</v>
      </c>
      <c r="E118" s="12" t="s">
        <v>482</v>
      </c>
      <c r="F118" s="13">
        <v>41796</v>
      </c>
      <c r="G118" s="7" t="s">
        <v>144</v>
      </c>
      <c r="H118" s="1" t="str">
        <f t="shared" si="2"/>
        <v>30TVN366512: Munilla. Melojar, 764 m. 6-6-2014 [JG314]</v>
      </c>
      <c r="I118" s="14" t="s">
        <v>471</v>
      </c>
      <c r="J118" s="14" t="s">
        <v>476</v>
      </c>
      <c r="K118" s="14" t="s">
        <v>483</v>
      </c>
      <c r="L118" s="16"/>
      <c r="M118" s="7" t="str">
        <f t="shared" si="3"/>
        <v>Quercus pyrenaica</v>
      </c>
    </row>
    <row r="119" spans="1:13" ht="15.6" x14ac:dyDescent="0.3">
      <c r="A119" s="4" t="s">
        <v>1414</v>
      </c>
      <c r="B119" s="44" t="s">
        <v>118</v>
      </c>
      <c r="C119" s="4" t="s">
        <v>119</v>
      </c>
      <c r="D119" s="4" t="s">
        <v>484</v>
      </c>
      <c r="E119" s="5" t="s">
        <v>485</v>
      </c>
      <c r="F119" s="6">
        <v>41800</v>
      </c>
      <c r="G119" s="7" t="s">
        <v>198</v>
      </c>
      <c r="H119" s="1" t="str">
        <f t="shared" si="2"/>
        <v>30TVN303593: Cilleruelo de Bezana. Carballeda, 819 m. 10-6-2014 [JG394]</v>
      </c>
      <c r="I119" s="8" t="s">
        <v>471</v>
      </c>
      <c r="J119" s="8" t="s">
        <v>476</v>
      </c>
      <c r="K119" s="8" t="s">
        <v>486</v>
      </c>
      <c r="L119" s="9"/>
      <c r="M119" s="10" t="str">
        <f t="shared" si="3"/>
        <v>Quercus robur</v>
      </c>
    </row>
    <row r="120" spans="1:13" ht="15.6" x14ac:dyDescent="0.3">
      <c r="A120" s="11" t="s">
        <v>1414</v>
      </c>
      <c r="B120" s="44" t="s">
        <v>200</v>
      </c>
      <c r="C120" s="11" t="s">
        <v>201</v>
      </c>
      <c r="D120" s="11" t="s">
        <v>484</v>
      </c>
      <c r="E120" s="12" t="s">
        <v>487</v>
      </c>
      <c r="F120" s="13">
        <v>41800</v>
      </c>
      <c r="G120" s="7" t="s">
        <v>198</v>
      </c>
      <c r="H120" s="1" t="str">
        <f t="shared" si="2"/>
        <v>30TVN315593: Cilleruelo de Bezana. Carballeda, 910 m. 10-6-2014 [JG420]</v>
      </c>
      <c r="I120" s="14" t="s">
        <v>471</v>
      </c>
      <c r="J120" s="14" t="s">
        <v>476</v>
      </c>
      <c r="K120" s="14" t="s">
        <v>486</v>
      </c>
      <c r="L120" s="15"/>
      <c r="M120" s="7" t="str">
        <f t="shared" si="3"/>
        <v>Quercus robur</v>
      </c>
    </row>
    <row r="121" spans="1:13" ht="15.6" x14ac:dyDescent="0.3">
      <c r="A121" s="4" t="s">
        <v>1415</v>
      </c>
      <c r="B121" s="44" t="s">
        <v>21</v>
      </c>
      <c r="C121" s="4" t="s">
        <v>22</v>
      </c>
      <c r="D121" s="5" t="s">
        <v>488</v>
      </c>
      <c r="E121" s="5" t="s">
        <v>489</v>
      </c>
      <c r="F121" s="6">
        <v>41799</v>
      </c>
      <c r="G121" s="7" t="s">
        <v>24</v>
      </c>
      <c r="H121" s="1" t="str">
        <f t="shared" si="2"/>
        <v>30TVN383582: San Cibrián. Hayedo, 750 m. 9-6-2014 [JG272]</v>
      </c>
      <c r="I121" s="8" t="s">
        <v>490</v>
      </c>
      <c r="J121" s="8" t="s">
        <v>491</v>
      </c>
      <c r="K121" s="8" t="s">
        <v>492</v>
      </c>
      <c r="L121" s="9"/>
      <c r="M121" s="10" t="str">
        <f t="shared" si="3"/>
        <v>Geranium robertianum</v>
      </c>
    </row>
    <row r="122" spans="1:13" ht="15.6" x14ac:dyDescent="0.3">
      <c r="A122" s="11" t="s">
        <v>1415</v>
      </c>
      <c r="B122" s="44" t="s">
        <v>43</v>
      </c>
      <c r="C122" s="11" t="s">
        <v>44</v>
      </c>
      <c r="D122" s="12" t="s">
        <v>493</v>
      </c>
      <c r="E122" s="12" t="s">
        <v>494</v>
      </c>
      <c r="F122" s="13">
        <v>41792</v>
      </c>
      <c r="G122" s="7" t="s">
        <v>46</v>
      </c>
      <c r="H122" s="1" t="str">
        <f t="shared" si="2"/>
        <v>30TVN387579: San Cibrián. Hayedo, 756 m. 2-6-2014 [JG288]</v>
      </c>
      <c r="I122" s="14" t="s">
        <v>490</v>
      </c>
      <c r="J122" s="14" t="s">
        <v>491</v>
      </c>
      <c r="K122" s="14" t="s">
        <v>492</v>
      </c>
      <c r="L122" s="15"/>
      <c r="M122" s="7" t="str">
        <f t="shared" si="3"/>
        <v>Geranium robertianum</v>
      </c>
    </row>
    <row r="123" spans="1:13" ht="15.6" x14ac:dyDescent="0.3">
      <c r="A123" s="4" t="s">
        <v>1415</v>
      </c>
      <c r="B123" s="44" t="s">
        <v>118</v>
      </c>
      <c r="C123" s="4" t="s">
        <v>119</v>
      </c>
      <c r="D123" s="20" t="s">
        <v>495</v>
      </c>
      <c r="E123" s="5" t="s">
        <v>496</v>
      </c>
      <c r="F123" s="6">
        <v>41800</v>
      </c>
      <c r="G123" s="7" t="s">
        <v>198</v>
      </c>
      <c r="H123" s="1" t="str">
        <f t="shared" si="2"/>
        <v>30TVN303593: Cilleruelo de Bezana. Carballeda, 819 m. 10-6-2014 [JG395]</v>
      </c>
      <c r="I123" s="18" t="s">
        <v>490</v>
      </c>
      <c r="J123" s="18" t="s">
        <v>491</v>
      </c>
      <c r="K123" s="8" t="s">
        <v>492</v>
      </c>
      <c r="L123" s="22"/>
      <c r="M123" s="10" t="str">
        <f t="shared" si="3"/>
        <v>Geranium robertianum</v>
      </c>
    </row>
    <row r="124" spans="1:13" ht="15.6" x14ac:dyDescent="0.3">
      <c r="A124" s="4" t="s">
        <v>1416</v>
      </c>
      <c r="B124" s="44" t="s">
        <v>118</v>
      </c>
      <c r="C124" s="4" t="s">
        <v>119</v>
      </c>
      <c r="D124" s="5" t="s">
        <v>497</v>
      </c>
      <c r="E124" s="5" t="s">
        <v>498</v>
      </c>
      <c r="F124" s="6">
        <v>41800</v>
      </c>
      <c r="G124" s="7" t="s">
        <v>198</v>
      </c>
      <c r="H124" s="1" t="str">
        <f t="shared" si="2"/>
        <v>30TVN303593: Cilleruelo de Bezana. Carballeda, 819 m. 10-6-2014 [JG396]</v>
      </c>
      <c r="I124" s="18" t="s">
        <v>490</v>
      </c>
      <c r="J124" s="18" t="s">
        <v>491</v>
      </c>
      <c r="K124" s="8" t="s">
        <v>499</v>
      </c>
      <c r="L124" s="9"/>
      <c r="M124" s="10" t="str">
        <f t="shared" si="3"/>
        <v>Geranium rotundifolium</v>
      </c>
    </row>
    <row r="125" spans="1:13" ht="15.6" x14ac:dyDescent="0.3">
      <c r="A125" s="11" t="s">
        <v>1417</v>
      </c>
      <c r="B125" s="44" t="s">
        <v>267</v>
      </c>
      <c r="C125" s="11" t="s">
        <v>268</v>
      </c>
      <c r="D125" s="21" t="s">
        <v>500</v>
      </c>
      <c r="E125" s="12" t="s">
        <v>501</v>
      </c>
      <c r="F125" s="13">
        <v>41796</v>
      </c>
      <c r="G125" s="7" t="s">
        <v>144</v>
      </c>
      <c r="H125" s="1" t="str">
        <f t="shared" si="2"/>
        <v>30TVN367537: Hoz de Arreba. Quejigar, 732 m. 6-6-2014 [JG155]</v>
      </c>
      <c r="I125" s="14" t="s">
        <v>502</v>
      </c>
      <c r="J125" s="14" t="s">
        <v>503</v>
      </c>
      <c r="K125" s="14" t="s">
        <v>504</v>
      </c>
      <c r="L125" s="15"/>
      <c r="M125" s="7" t="str">
        <f t="shared" si="3"/>
        <v>Globularia vulgaris</v>
      </c>
    </row>
    <row r="126" spans="1:13" ht="15.6" x14ac:dyDescent="0.3">
      <c r="A126" s="11" t="s">
        <v>1417</v>
      </c>
      <c r="B126" s="44" t="s">
        <v>301</v>
      </c>
      <c r="C126" s="11" t="s">
        <v>302</v>
      </c>
      <c r="D126" s="12" t="s">
        <v>505</v>
      </c>
      <c r="E126" s="12" t="s">
        <v>506</v>
      </c>
      <c r="F126" s="13">
        <v>41798</v>
      </c>
      <c r="G126" s="7" t="s">
        <v>86</v>
      </c>
      <c r="H126" s="1" t="str">
        <f t="shared" si="2"/>
        <v>30TVN365530: Hoz de Arreba. Encinar, 883 m. 8-6-2014 [JG173]</v>
      </c>
      <c r="I126" s="14" t="s">
        <v>502</v>
      </c>
      <c r="J126" s="14" t="s">
        <v>503</v>
      </c>
      <c r="K126" s="14" t="s">
        <v>504</v>
      </c>
      <c r="L126" s="15"/>
      <c r="M126" s="7" t="str">
        <f t="shared" si="3"/>
        <v>Globularia vulgaris</v>
      </c>
    </row>
    <row r="127" spans="1:13" ht="15.6" x14ac:dyDescent="0.3">
      <c r="A127" s="11" t="s">
        <v>1418</v>
      </c>
      <c r="B127" s="44" t="s">
        <v>187</v>
      </c>
      <c r="C127" s="11" t="s">
        <v>188</v>
      </c>
      <c r="D127" s="12" t="s">
        <v>507</v>
      </c>
      <c r="E127" s="12" t="s">
        <v>508</v>
      </c>
      <c r="F127" s="13">
        <v>41796</v>
      </c>
      <c r="G127" s="7" t="s">
        <v>144</v>
      </c>
      <c r="H127" s="1" t="str">
        <f t="shared" si="2"/>
        <v>30TVN366512: Munilla. Melojar, 764 m. 6-6-2014 [JG315]</v>
      </c>
      <c r="I127" s="19" t="s">
        <v>17</v>
      </c>
      <c r="J127" s="14" t="s">
        <v>509</v>
      </c>
      <c r="K127" s="14" t="s">
        <v>510</v>
      </c>
      <c r="L127" s="16"/>
      <c r="M127" s="7" t="str">
        <f t="shared" si="3"/>
        <v>Agrostis curtisii</v>
      </c>
    </row>
    <row r="128" spans="1:13" ht="15.6" x14ac:dyDescent="0.3">
      <c r="A128" s="4" t="s">
        <v>1419</v>
      </c>
      <c r="B128" s="44" t="s">
        <v>512</v>
      </c>
      <c r="C128" s="4" t="s">
        <v>513</v>
      </c>
      <c r="D128" s="23" t="s">
        <v>511</v>
      </c>
      <c r="E128" s="5" t="s">
        <v>514</v>
      </c>
      <c r="F128" s="6">
        <v>41806</v>
      </c>
      <c r="G128" s="7" t="s">
        <v>32</v>
      </c>
      <c r="H128" s="1" t="str">
        <f>CONCATENATE(B128, ": ", C128, " ", G128, " ", "[", E128, "]")</f>
        <v>30TVN308588: Cilleruelo de Bezana. Carballeda, 806 m. 16-6-2014 [JG023]</v>
      </c>
      <c r="I128" s="18" t="s">
        <v>17</v>
      </c>
      <c r="J128" s="8" t="s">
        <v>515</v>
      </c>
      <c r="K128" s="8" t="s">
        <v>516</v>
      </c>
      <c r="L128" s="9"/>
      <c r="M128" s="10" t="str">
        <f t="shared" si="3"/>
        <v>Aira caryophyllea</v>
      </c>
    </row>
    <row r="129" spans="1:13" ht="15.6" x14ac:dyDescent="0.3">
      <c r="A129" s="4" t="s">
        <v>1340</v>
      </c>
      <c r="B129" s="44" t="s">
        <v>512</v>
      </c>
      <c r="C129" s="4" t="s">
        <v>513</v>
      </c>
      <c r="D129" s="23" t="s">
        <v>517</v>
      </c>
      <c r="E129" s="5" t="s">
        <v>518</v>
      </c>
      <c r="F129" s="6">
        <v>41806</v>
      </c>
      <c r="G129" s="7" t="s">
        <v>32</v>
      </c>
      <c r="H129" s="1" t="str">
        <f>CONCATENATE(B129, ": ", C129, " ", G129, " ", "[", E129, "]")</f>
        <v>30TVN308588: Cilleruelo de Bezana. Carballeda, 806 m. 16-6-2014 [JG024]</v>
      </c>
      <c r="I129" s="18" t="s">
        <v>17</v>
      </c>
      <c r="J129" s="8" t="s">
        <v>18</v>
      </c>
      <c r="K129" s="8" t="s">
        <v>19</v>
      </c>
      <c r="L129" s="9"/>
      <c r="M129" s="10" t="str">
        <f t="shared" si="3"/>
        <v>Anthoxanthum odoratum</v>
      </c>
    </row>
    <row r="130" spans="1:13" ht="15.6" x14ac:dyDescent="0.3">
      <c r="A130" s="11" t="s">
        <v>1340</v>
      </c>
      <c r="B130" s="44" t="s">
        <v>187</v>
      </c>
      <c r="C130" s="11" t="s">
        <v>188</v>
      </c>
      <c r="D130" s="12" t="s">
        <v>519</v>
      </c>
      <c r="E130" s="12" t="s">
        <v>520</v>
      </c>
      <c r="F130" s="13">
        <v>41807</v>
      </c>
      <c r="G130" s="7" t="s">
        <v>190</v>
      </c>
      <c r="H130" s="1" t="str">
        <f t="shared" ref="H130:H193" si="4">CONCATENATE(B130, ": ", C130, " ", G130, " ", "[", E130, "]")</f>
        <v>30TVN366512: Munilla. Melojar, 764 m. 17-6-2014 [JG316]</v>
      </c>
      <c r="I130" s="14" t="s">
        <v>17</v>
      </c>
      <c r="J130" s="14" t="s">
        <v>18</v>
      </c>
      <c r="K130" s="14" t="s">
        <v>19</v>
      </c>
      <c r="L130" s="15"/>
      <c r="M130" s="7" t="str">
        <f t="shared" ref="M130:M193" si="5">CONCATENATE(J130," ",K130)</f>
        <v>Anthoxanthum odoratum</v>
      </c>
    </row>
    <row r="131" spans="1:13" ht="15.6" x14ac:dyDescent="0.3">
      <c r="A131" s="4" t="s">
        <v>1420</v>
      </c>
      <c r="B131" s="44" t="s">
        <v>512</v>
      </c>
      <c r="C131" s="4" t="s">
        <v>513</v>
      </c>
      <c r="D131" s="5" t="s">
        <v>521</v>
      </c>
      <c r="E131" s="5" t="s">
        <v>522</v>
      </c>
      <c r="F131" s="6">
        <v>41806</v>
      </c>
      <c r="G131" s="7" t="s">
        <v>32</v>
      </c>
      <c r="H131" s="1" t="str">
        <f t="shared" si="4"/>
        <v>30TVN308588: Cilleruelo de Bezana. Carballeda, 806 m. 16-6-2014 [JG025]</v>
      </c>
      <c r="I131" s="8" t="s">
        <v>17</v>
      </c>
      <c r="J131" s="8" t="s">
        <v>523</v>
      </c>
      <c r="K131" s="8" t="s">
        <v>524</v>
      </c>
      <c r="L131" s="9" t="s">
        <v>525</v>
      </c>
      <c r="M131" s="10" t="str">
        <f t="shared" si="5"/>
        <v>Arrhenatherum elatius</v>
      </c>
    </row>
    <row r="132" spans="1:13" ht="15.6" x14ac:dyDescent="0.3">
      <c r="A132" s="11" t="s">
        <v>1420</v>
      </c>
      <c r="B132" s="44" t="s">
        <v>527</v>
      </c>
      <c r="C132" s="11" t="s">
        <v>528</v>
      </c>
      <c r="D132" s="12" t="s">
        <v>526</v>
      </c>
      <c r="E132" s="12" t="s">
        <v>529</v>
      </c>
      <c r="F132" s="13">
        <v>41793</v>
      </c>
      <c r="G132" s="7" t="s">
        <v>195</v>
      </c>
      <c r="H132" s="1" t="str">
        <f t="shared" si="4"/>
        <v>30TVN326593: Virtus. Melojar, 911 m. 3-6-2014 [JG352]</v>
      </c>
      <c r="I132" s="14" t="s">
        <v>17</v>
      </c>
      <c r="J132" s="14" t="s">
        <v>523</v>
      </c>
      <c r="K132" s="14" t="s">
        <v>524</v>
      </c>
      <c r="L132" s="15" t="s">
        <v>525</v>
      </c>
      <c r="M132" s="7" t="str">
        <f t="shared" si="5"/>
        <v>Arrhenatherum elatius</v>
      </c>
    </row>
    <row r="133" spans="1:13" ht="15.6" x14ac:dyDescent="0.3">
      <c r="A133" s="11" t="s">
        <v>1421</v>
      </c>
      <c r="B133" s="44" t="s">
        <v>83</v>
      </c>
      <c r="C133" s="11" t="s">
        <v>84</v>
      </c>
      <c r="D133" s="17" t="s">
        <v>530</v>
      </c>
      <c r="E133" s="12" t="s">
        <v>531</v>
      </c>
      <c r="F133" s="13">
        <v>41798</v>
      </c>
      <c r="G133" s="7" t="s">
        <v>86</v>
      </c>
      <c r="H133" s="1" t="str">
        <f t="shared" si="4"/>
        <v>30TVN350545: Torres de Abajo. Encinar, 929 m. 8-6-2014 [JG060]</v>
      </c>
      <c r="I133" s="19" t="s">
        <v>17</v>
      </c>
      <c r="J133" s="14" t="s">
        <v>532</v>
      </c>
      <c r="K133" s="14" t="s">
        <v>533</v>
      </c>
      <c r="L133" s="15"/>
      <c r="M133" s="7" t="str">
        <f t="shared" si="5"/>
        <v>Avenula pratensis subsp. iberica</v>
      </c>
    </row>
    <row r="134" spans="1:13" ht="15.6" x14ac:dyDescent="0.3">
      <c r="A134" s="11" t="s">
        <v>1422</v>
      </c>
      <c r="B134" s="44" t="s">
        <v>148</v>
      </c>
      <c r="C134" s="11" t="s">
        <v>149</v>
      </c>
      <c r="D134" s="12" t="s">
        <v>534</v>
      </c>
      <c r="E134" s="12" t="s">
        <v>535</v>
      </c>
      <c r="F134" s="13">
        <v>41799</v>
      </c>
      <c r="G134" s="7" t="s">
        <v>24</v>
      </c>
      <c r="H134" s="1" t="str">
        <f t="shared" si="4"/>
        <v>30TVN371543: Hoz de Arreba. Quejigar, 839 m. 9-6-2014 [JG142]</v>
      </c>
      <c r="I134" s="14" t="s">
        <v>17</v>
      </c>
      <c r="J134" s="14" t="s">
        <v>532</v>
      </c>
      <c r="K134" s="14" t="s">
        <v>536</v>
      </c>
      <c r="L134" s="15" t="s">
        <v>537</v>
      </c>
      <c r="M134" s="7" t="str">
        <f t="shared" si="5"/>
        <v>Avenula sulcata subsp. sulcata</v>
      </c>
    </row>
    <row r="135" spans="1:13" ht="15.6" x14ac:dyDescent="0.3">
      <c r="A135" s="11" t="s">
        <v>1422</v>
      </c>
      <c r="B135" s="44" t="s">
        <v>267</v>
      </c>
      <c r="C135" s="11" t="s">
        <v>268</v>
      </c>
      <c r="D135" s="21" t="s">
        <v>538</v>
      </c>
      <c r="E135" s="12" t="s">
        <v>539</v>
      </c>
      <c r="F135" s="13">
        <v>41796</v>
      </c>
      <c r="G135" s="7" t="s">
        <v>144</v>
      </c>
      <c r="H135" s="1" t="str">
        <f t="shared" si="4"/>
        <v>30TVN367537: Hoz de Arreba. Quejigar, 732 m. 6-6-2014 [JG156]</v>
      </c>
      <c r="I135" s="19" t="s">
        <v>17</v>
      </c>
      <c r="J135" s="14" t="s">
        <v>532</v>
      </c>
      <c r="K135" s="14" t="s">
        <v>536</v>
      </c>
      <c r="L135" s="15" t="s">
        <v>537</v>
      </c>
      <c r="M135" s="7" t="str">
        <f t="shared" si="5"/>
        <v>Avenula sulcata subsp. sulcata</v>
      </c>
    </row>
    <row r="136" spans="1:13" ht="15.6" x14ac:dyDescent="0.3">
      <c r="A136" s="11" t="s">
        <v>1422</v>
      </c>
      <c r="B136" s="44" t="s">
        <v>384</v>
      </c>
      <c r="C136" s="11" t="s">
        <v>385</v>
      </c>
      <c r="D136" s="12" t="s">
        <v>540</v>
      </c>
      <c r="E136" s="12" t="s">
        <v>541</v>
      </c>
      <c r="F136" s="13">
        <v>41796</v>
      </c>
      <c r="G136" s="7" t="s">
        <v>144</v>
      </c>
      <c r="H136" s="1" t="str">
        <f t="shared" si="4"/>
        <v>30TVN356517: Munilla. Quejigar, 905 m. 6-6-2014 [JG355]</v>
      </c>
      <c r="I136" s="19" t="s">
        <v>17</v>
      </c>
      <c r="J136" s="14" t="s">
        <v>532</v>
      </c>
      <c r="K136" s="14" t="s">
        <v>536</v>
      </c>
      <c r="L136" s="15" t="s">
        <v>537</v>
      </c>
      <c r="M136" s="7" t="str">
        <f t="shared" si="5"/>
        <v>Avenula sulcata subsp. sulcata</v>
      </c>
    </row>
    <row r="137" spans="1:13" ht="15.6" x14ac:dyDescent="0.3">
      <c r="A137" s="11" t="s">
        <v>1423</v>
      </c>
      <c r="B137" s="44" t="s">
        <v>83</v>
      </c>
      <c r="C137" s="11" t="s">
        <v>84</v>
      </c>
      <c r="D137" s="17" t="s">
        <v>542</v>
      </c>
      <c r="E137" s="12" t="s">
        <v>543</v>
      </c>
      <c r="F137" s="13">
        <v>41798</v>
      </c>
      <c r="G137" s="7" t="s">
        <v>86</v>
      </c>
      <c r="H137" s="1" t="str">
        <f t="shared" si="4"/>
        <v>30TVN350545: Torres de Abajo. Encinar, 929 m. 8-6-2014 [JG061]</v>
      </c>
      <c r="I137" s="19" t="s">
        <v>17</v>
      </c>
      <c r="J137" s="14" t="s">
        <v>544</v>
      </c>
      <c r="K137" s="14" t="s">
        <v>545</v>
      </c>
      <c r="L137" s="15"/>
      <c r="M137" s="7" t="str">
        <f t="shared" si="5"/>
        <v>Briza media subsp. media</v>
      </c>
    </row>
    <row r="138" spans="1:13" ht="15.6" x14ac:dyDescent="0.3">
      <c r="A138" s="11" t="s">
        <v>1423</v>
      </c>
      <c r="B138" s="44" t="s">
        <v>148</v>
      </c>
      <c r="C138" s="11" t="s">
        <v>149</v>
      </c>
      <c r="D138" s="17" t="s">
        <v>546</v>
      </c>
      <c r="E138" s="12" t="s">
        <v>547</v>
      </c>
      <c r="F138" s="13">
        <v>41799</v>
      </c>
      <c r="G138" s="7" t="s">
        <v>24</v>
      </c>
      <c r="H138" s="1" t="str">
        <f t="shared" si="4"/>
        <v>30TVN371543: Hoz de Arreba. Quejigar, 839 m. 9-6-2014 [JG143]</v>
      </c>
      <c r="I138" s="19" t="s">
        <v>17</v>
      </c>
      <c r="J138" s="14" t="s">
        <v>544</v>
      </c>
      <c r="K138" s="14" t="s">
        <v>545</v>
      </c>
      <c r="L138" s="15"/>
      <c r="M138" s="7" t="str">
        <f t="shared" si="5"/>
        <v>Briza media subsp. media</v>
      </c>
    </row>
    <row r="139" spans="1:13" ht="15.6" x14ac:dyDescent="0.3">
      <c r="A139" s="11" t="s">
        <v>1423</v>
      </c>
      <c r="B139" s="44" t="s">
        <v>172</v>
      </c>
      <c r="C139" s="11" t="s">
        <v>173</v>
      </c>
      <c r="D139" s="17" t="s">
        <v>548</v>
      </c>
      <c r="E139" s="12" t="s">
        <v>549</v>
      </c>
      <c r="F139" s="13">
        <v>41798</v>
      </c>
      <c r="G139" s="7" t="s">
        <v>86</v>
      </c>
      <c r="H139" s="1" t="str">
        <f t="shared" si="4"/>
        <v>30TVN365521: Munilla. Quejigar, 944 m. 8-6-2014 [JG374]</v>
      </c>
      <c r="I139" s="19" t="s">
        <v>17</v>
      </c>
      <c r="J139" s="14" t="s">
        <v>544</v>
      </c>
      <c r="K139" s="14" t="s">
        <v>545</v>
      </c>
      <c r="L139" s="15"/>
      <c r="M139" s="7" t="str">
        <f t="shared" si="5"/>
        <v>Briza media subsp. media</v>
      </c>
    </row>
    <row r="140" spans="1:13" ht="15.6" x14ac:dyDescent="0.3">
      <c r="A140" s="11" t="s">
        <v>1424</v>
      </c>
      <c r="B140" s="44" t="s">
        <v>73</v>
      </c>
      <c r="C140" s="11" t="s">
        <v>74</v>
      </c>
      <c r="D140" s="12" t="s">
        <v>550</v>
      </c>
      <c r="E140" s="12" t="s">
        <v>551</v>
      </c>
      <c r="F140" s="13">
        <v>41805</v>
      </c>
      <c r="G140" s="7" t="s">
        <v>66</v>
      </c>
      <c r="H140" s="1" t="str">
        <f t="shared" si="4"/>
        <v>30TVN407532: Cubillos del Rojo. Quejigar, 894 m. 15-6-2014 [JG078]</v>
      </c>
      <c r="I140" s="19" t="s">
        <v>17</v>
      </c>
      <c r="J140" s="14" t="s">
        <v>552</v>
      </c>
      <c r="K140" s="14" t="s">
        <v>553</v>
      </c>
      <c r="L140" s="15"/>
      <c r="M140" s="7" t="str">
        <f t="shared" si="5"/>
        <v>Bromus erectus subsp. erectus</v>
      </c>
    </row>
    <row r="141" spans="1:13" ht="15.6" x14ac:dyDescent="0.3">
      <c r="A141" s="11" t="s">
        <v>1424</v>
      </c>
      <c r="B141" s="44" t="s">
        <v>63</v>
      </c>
      <c r="C141" s="11" t="s">
        <v>64</v>
      </c>
      <c r="D141" s="17" t="s">
        <v>554</v>
      </c>
      <c r="E141" s="12" t="s">
        <v>555</v>
      </c>
      <c r="F141" s="13">
        <v>41805</v>
      </c>
      <c r="G141" s="7" t="s">
        <v>66</v>
      </c>
      <c r="H141" s="1" t="str">
        <f t="shared" si="4"/>
        <v>30TVN408533: Cubillos del Rojo. Encinar, 901 m. 15-6-2014 [JG100]</v>
      </c>
      <c r="I141" s="19" t="s">
        <v>17</v>
      </c>
      <c r="J141" s="14" t="s">
        <v>552</v>
      </c>
      <c r="K141" s="14" t="s">
        <v>553</v>
      </c>
      <c r="L141" s="15"/>
      <c r="M141" s="7" t="str">
        <f t="shared" si="5"/>
        <v>Bromus erectus subsp. erectus</v>
      </c>
    </row>
    <row r="142" spans="1:13" ht="15.6" x14ac:dyDescent="0.3">
      <c r="A142" s="11" t="s">
        <v>1424</v>
      </c>
      <c r="B142" s="44" t="s">
        <v>172</v>
      </c>
      <c r="C142" s="11" t="s">
        <v>173</v>
      </c>
      <c r="D142" s="21" t="s">
        <v>556</v>
      </c>
      <c r="E142" s="12" t="s">
        <v>557</v>
      </c>
      <c r="F142" s="13">
        <v>41798</v>
      </c>
      <c r="G142" s="7" t="s">
        <v>86</v>
      </c>
      <c r="H142" s="1" t="str">
        <f t="shared" si="4"/>
        <v>30TVN365521: Munilla. Quejigar, 944 m. 8-6-2014 [JG375]</v>
      </c>
      <c r="I142" s="19" t="s">
        <v>17</v>
      </c>
      <c r="J142" s="14" t="s">
        <v>552</v>
      </c>
      <c r="K142" s="14" t="s">
        <v>553</v>
      </c>
      <c r="L142" s="15"/>
      <c r="M142" s="7" t="str">
        <f t="shared" si="5"/>
        <v>Bromus erectus subsp. erectus</v>
      </c>
    </row>
    <row r="143" spans="1:13" ht="15.6" x14ac:dyDescent="0.3">
      <c r="A143" s="11" t="s">
        <v>1425</v>
      </c>
      <c r="B143" s="44" t="s">
        <v>172</v>
      </c>
      <c r="C143" s="11" t="s">
        <v>173</v>
      </c>
      <c r="D143" s="21" t="s">
        <v>558</v>
      </c>
      <c r="E143" s="12" t="s">
        <v>559</v>
      </c>
      <c r="F143" s="13">
        <v>41798</v>
      </c>
      <c r="G143" s="7" t="s">
        <v>86</v>
      </c>
      <c r="H143" s="1" t="str">
        <f t="shared" si="4"/>
        <v>30TVN365521: Munilla. Quejigar, 944 m. 8-6-2014 [JG376]</v>
      </c>
      <c r="I143" s="19" t="s">
        <v>17</v>
      </c>
      <c r="J143" s="14" t="s">
        <v>560</v>
      </c>
      <c r="K143" s="14" t="s">
        <v>561</v>
      </c>
      <c r="L143" s="15"/>
      <c r="M143" s="7" t="str">
        <f t="shared" si="5"/>
        <v>Cynosurus echinatus</v>
      </c>
    </row>
    <row r="144" spans="1:13" ht="15.6" x14ac:dyDescent="0.3">
      <c r="A144" s="4" t="s">
        <v>1426</v>
      </c>
      <c r="B144" s="44" t="s">
        <v>512</v>
      </c>
      <c r="C144" s="4" t="s">
        <v>513</v>
      </c>
      <c r="D144" s="23" t="s">
        <v>562</v>
      </c>
      <c r="E144" s="5" t="s">
        <v>563</v>
      </c>
      <c r="F144" s="6">
        <v>41806</v>
      </c>
      <c r="G144" s="7" t="s">
        <v>32</v>
      </c>
      <c r="H144" s="1" t="str">
        <f t="shared" si="4"/>
        <v>30TVN308588: Cilleruelo de Bezana. Carballeda, 806 m. 16-6-2014 [JG026]</v>
      </c>
      <c r="I144" s="18" t="s">
        <v>17</v>
      </c>
      <c r="J144" s="8" t="s">
        <v>564</v>
      </c>
      <c r="K144" s="8" t="s">
        <v>565</v>
      </c>
      <c r="L144" s="9"/>
      <c r="M144" s="10" t="str">
        <f t="shared" si="5"/>
        <v>Dactylis glomerata subsp. glomerata</v>
      </c>
    </row>
    <row r="145" spans="1:13" ht="15.6" x14ac:dyDescent="0.3">
      <c r="A145" s="11" t="s">
        <v>1426</v>
      </c>
      <c r="B145" s="44" t="s">
        <v>55</v>
      </c>
      <c r="C145" s="11" t="s">
        <v>56</v>
      </c>
      <c r="D145" s="12" t="s">
        <v>566</v>
      </c>
      <c r="E145" s="12" t="s">
        <v>567</v>
      </c>
      <c r="F145" s="13">
        <v>41795</v>
      </c>
      <c r="G145" s="7" t="s">
        <v>58</v>
      </c>
      <c r="H145" s="1" t="str">
        <f t="shared" si="4"/>
        <v>30TVN364557: Torres de Abajo. Encinar, 855 m. 5-6-2014 [JG048]</v>
      </c>
      <c r="I145" s="14" t="s">
        <v>17</v>
      </c>
      <c r="J145" s="14" t="s">
        <v>564</v>
      </c>
      <c r="K145" s="14" t="s">
        <v>565</v>
      </c>
      <c r="L145" s="7"/>
      <c r="M145" s="7" t="str">
        <f t="shared" si="5"/>
        <v>Dactylis glomerata subsp. glomerata</v>
      </c>
    </row>
    <row r="146" spans="1:13" ht="15.6" x14ac:dyDescent="0.3">
      <c r="A146" s="11" t="s">
        <v>1426</v>
      </c>
      <c r="B146" s="44" t="s">
        <v>63</v>
      </c>
      <c r="C146" s="11" t="s">
        <v>64</v>
      </c>
      <c r="D146" s="17" t="s">
        <v>568</v>
      </c>
      <c r="E146" s="12" t="s">
        <v>569</v>
      </c>
      <c r="F146" s="13">
        <v>41805</v>
      </c>
      <c r="G146" s="7" t="s">
        <v>66</v>
      </c>
      <c r="H146" s="1" t="str">
        <f t="shared" si="4"/>
        <v>30TVN408533: Cubillos del Rojo. Encinar, 901 m. 15-6-2014 [JG101]</v>
      </c>
      <c r="I146" s="19" t="s">
        <v>17</v>
      </c>
      <c r="J146" s="14" t="s">
        <v>564</v>
      </c>
      <c r="K146" s="14" t="s">
        <v>565</v>
      </c>
      <c r="L146" s="15"/>
      <c r="M146" s="7" t="str">
        <f t="shared" si="5"/>
        <v>Dactylis glomerata subsp. glomerata</v>
      </c>
    </row>
    <row r="147" spans="1:13" ht="15.6" x14ac:dyDescent="0.3">
      <c r="A147" s="11" t="s">
        <v>1426</v>
      </c>
      <c r="B147" s="44" t="s">
        <v>384</v>
      </c>
      <c r="C147" s="11" t="s">
        <v>385</v>
      </c>
      <c r="D147" s="21" t="s">
        <v>570</v>
      </c>
      <c r="E147" s="12" t="s">
        <v>571</v>
      </c>
      <c r="F147" s="13">
        <v>41796</v>
      </c>
      <c r="G147" s="7" t="s">
        <v>144</v>
      </c>
      <c r="H147" s="1" t="str">
        <f t="shared" si="4"/>
        <v>30TVN356517: Munilla. Quejigar, 905 m. 6-6-2014 [JG356]</v>
      </c>
      <c r="I147" s="19" t="s">
        <v>17</v>
      </c>
      <c r="J147" s="14" t="s">
        <v>564</v>
      </c>
      <c r="K147" s="14" t="s">
        <v>565</v>
      </c>
      <c r="L147" s="15"/>
      <c r="M147" s="7" t="str">
        <f t="shared" si="5"/>
        <v>Dactylis glomerata subsp. glomerata</v>
      </c>
    </row>
    <row r="148" spans="1:13" ht="15.6" x14ac:dyDescent="0.3">
      <c r="A148" s="11" t="s">
        <v>1427</v>
      </c>
      <c r="B148" s="44" t="s">
        <v>573</v>
      </c>
      <c r="C148" s="11" t="s">
        <v>574</v>
      </c>
      <c r="D148" s="12" t="s">
        <v>572</v>
      </c>
      <c r="E148" s="12" t="s">
        <v>575</v>
      </c>
      <c r="F148" s="13">
        <v>41804</v>
      </c>
      <c r="G148" s="7" t="s">
        <v>94</v>
      </c>
      <c r="H148" s="1" t="str">
        <f t="shared" si="4"/>
        <v>30TVN332537: Cilleruelo de Bezana. Hayedo de Carrales, 996 m. 14-6-2014 [JG244]</v>
      </c>
      <c r="I148" s="14" t="s">
        <v>17</v>
      </c>
      <c r="J148" s="14" t="s">
        <v>576</v>
      </c>
      <c r="K148" s="14" t="s">
        <v>577</v>
      </c>
      <c r="L148" s="15"/>
      <c r="M148" s="7" t="str">
        <f t="shared" si="5"/>
        <v>Deschampsia flexuosa</v>
      </c>
    </row>
    <row r="149" spans="1:13" ht="15.6" x14ac:dyDescent="0.3">
      <c r="A149" s="4" t="s">
        <v>1427</v>
      </c>
      <c r="B149" s="44" t="s">
        <v>118</v>
      </c>
      <c r="C149" s="4" t="s">
        <v>119</v>
      </c>
      <c r="D149" s="5" t="s">
        <v>578</v>
      </c>
      <c r="E149" s="5" t="s">
        <v>579</v>
      </c>
      <c r="F149" s="6">
        <v>41800</v>
      </c>
      <c r="G149" s="7" t="s">
        <v>198</v>
      </c>
      <c r="H149" s="1" t="str">
        <f t="shared" si="4"/>
        <v>30TVN303593: Cilleruelo de Bezana. Carballeda, 819 m. 10-6-2014 [JG397]</v>
      </c>
      <c r="I149" s="18" t="s">
        <v>17</v>
      </c>
      <c r="J149" s="8" t="s">
        <v>576</v>
      </c>
      <c r="K149" s="8" t="s">
        <v>577</v>
      </c>
      <c r="L149" s="9"/>
      <c r="M149" s="10" t="str">
        <f t="shared" si="5"/>
        <v>Deschampsia flexuosa</v>
      </c>
    </row>
    <row r="150" spans="1:13" ht="15.6" x14ac:dyDescent="0.3">
      <c r="A150" s="11" t="s">
        <v>1428</v>
      </c>
      <c r="B150" s="44" t="s">
        <v>267</v>
      </c>
      <c r="C150" s="11" t="s">
        <v>268</v>
      </c>
      <c r="D150" s="21" t="s">
        <v>580</v>
      </c>
      <c r="E150" s="12" t="s">
        <v>581</v>
      </c>
      <c r="F150" s="13">
        <v>41796</v>
      </c>
      <c r="G150" s="7" t="s">
        <v>144</v>
      </c>
      <c r="H150" s="1" t="str">
        <f t="shared" si="4"/>
        <v>30TVN367537: Hoz de Arreba. Quejigar, 732 m. 6-6-2014 [JG157]</v>
      </c>
      <c r="I150" s="19" t="s">
        <v>17</v>
      </c>
      <c r="J150" s="14" t="s">
        <v>582</v>
      </c>
      <c r="K150" s="14" t="s">
        <v>583</v>
      </c>
      <c r="L150" s="15"/>
      <c r="M150" s="7" t="str">
        <f t="shared" si="5"/>
        <v>Festuca paniculata</v>
      </c>
    </row>
    <row r="151" spans="1:13" ht="15.6" x14ac:dyDescent="0.3">
      <c r="A151" s="11" t="s">
        <v>1428</v>
      </c>
      <c r="B151" s="44" t="s">
        <v>301</v>
      </c>
      <c r="C151" s="11" t="s">
        <v>302</v>
      </c>
      <c r="D151" s="17" t="s">
        <v>584</v>
      </c>
      <c r="E151" s="12" t="s">
        <v>585</v>
      </c>
      <c r="F151" s="13">
        <v>41798</v>
      </c>
      <c r="G151" s="7" t="s">
        <v>86</v>
      </c>
      <c r="H151" s="1" t="str">
        <f t="shared" si="4"/>
        <v>30TVN365530: Hoz de Arreba. Encinar, 883 m. 8-6-2014 [JG174]</v>
      </c>
      <c r="I151" s="19" t="s">
        <v>17</v>
      </c>
      <c r="J151" s="14" t="s">
        <v>582</v>
      </c>
      <c r="K151" s="14" t="s">
        <v>583</v>
      </c>
      <c r="L151" s="15"/>
      <c r="M151" s="7" t="str">
        <f t="shared" si="5"/>
        <v>Festuca paniculata</v>
      </c>
    </row>
    <row r="152" spans="1:13" ht="15.6" x14ac:dyDescent="0.3">
      <c r="A152" s="11" t="s">
        <v>1428</v>
      </c>
      <c r="B152" s="44" t="s">
        <v>154</v>
      </c>
      <c r="C152" s="11" t="s">
        <v>155</v>
      </c>
      <c r="D152" s="12" t="s">
        <v>586</v>
      </c>
      <c r="E152" s="12" t="s">
        <v>587</v>
      </c>
      <c r="F152" s="13">
        <v>41795</v>
      </c>
      <c r="G152" s="7" t="s">
        <v>58</v>
      </c>
      <c r="H152" s="1" t="str">
        <f t="shared" si="4"/>
        <v>30TVN396513: Lándraves. Quejigar, 676 m. 5-6-2014 [JG195]</v>
      </c>
      <c r="I152" s="19" t="s">
        <v>17</v>
      </c>
      <c r="J152" s="14" t="s">
        <v>582</v>
      </c>
      <c r="K152" s="14" t="s">
        <v>583</v>
      </c>
      <c r="L152" s="15"/>
      <c r="M152" s="7" t="str">
        <f t="shared" si="5"/>
        <v>Festuca paniculata</v>
      </c>
    </row>
    <row r="153" spans="1:13" ht="15.6" x14ac:dyDescent="0.3">
      <c r="A153" s="11" t="s">
        <v>1429</v>
      </c>
      <c r="B153" s="44" t="s">
        <v>345</v>
      </c>
      <c r="C153" s="11" t="s">
        <v>346</v>
      </c>
      <c r="D153" s="11" t="s">
        <v>588</v>
      </c>
      <c r="E153" s="12" t="s">
        <v>589</v>
      </c>
      <c r="F153" s="13">
        <v>41807</v>
      </c>
      <c r="G153" s="7" t="s">
        <v>190</v>
      </c>
      <c r="H153" s="1" t="str">
        <f t="shared" si="4"/>
        <v>30TVN369513: Munilla. Melojar, 805 m. 17-6-2014 [JG336]</v>
      </c>
      <c r="I153" s="14" t="s">
        <v>17</v>
      </c>
      <c r="J153" s="14" t="s">
        <v>582</v>
      </c>
      <c r="K153" s="14" t="s">
        <v>590</v>
      </c>
      <c r="L153" s="15" t="s">
        <v>591</v>
      </c>
      <c r="M153" s="7" t="str">
        <f t="shared" si="5"/>
        <v>Festuca rubra subsp. rubra</v>
      </c>
    </row>
    <row r="154" spans="1:13" ht="15.6" x14ac:dyDescent="0.3">
      <c r="A154" s="24" t="s">
        <v>1430</v>
      </c>
      <c r="B154" s="45" t="s">
        <v>187</v>
      </c>
      <c r="C154" s="24" t="s">
        <v>188</v>
      </c>
      <c r="D154" s="25" t="s">
        <v>592</v>
      </c>
      <c r="E154" s="26" t="s">
        <v>593</v>
      </c>
      <c r="F154" s="27">
        <v>41807</v>
      </c>
      <c r="G154" s="28" t="s">
        <v>190</v>
      </c>
      <c r="H154" s="2" t="str">
        <f t="shared" si="4"/>
        <v>30TVN366512: Munilla. Melojar, 764 m. 17-6-2014 [JG317]</v>
      </c>
      <c r="I154" s="29" t="s">
        <v>17</v>
      </c>
      <c r="J154" s="30" t="s">
        <v>582</v>
      </c>
      <c r="K154" s="30"/>
      <c r="L154" s="31"/>
      <c r="M154" s="28" t="str">
        <f t="shared" si="5"/>
        <v xml:space="preserve">Festuca </v>
      </c>
    </row>
    <row r="155" spans="1:13" ht="15.6" x14ac:dyDescent="0.3">
      <c r="A155" s="11" t="s">
        <v>1431</v>
      </c>
      <c r="B155" s="44" t="s">
        <v>83</v>
      </c>
      <c r="C155" s="11" t="s">
        <v>84</v>
      </c>
      <c r="D155" s="21" t="s">
        <v>594</v>
      </c>
      <c r="E155" s="12" t="s">
        <v>595</v>
      </c>
      <c r="F155" s="13">
        <v>41798</v>
      </c>
      <c r="G155" s="7" t="s">
        <v>86</v>
      </c>
      <c r="H155" s="1" t="str">
        <f t="shared" si="4"/>
        <v>30TVN350545: Torres de Abajo. Encinar, 929 m. 8-6-2014 [JG062]</v>
      </c>
      <c r="I155" s="32" t="s">
        <v>17</v>
      </c>
      <c r="J155" s="14" t="s">
        <v>596</v>
      </c>
      <c r="K155" s="14" t="s">
        <v>597</v>
      </c>
      <c r="L155" s="15"/>
      <c r="M155" s="7" t="str">
        <f t="shared" si="5"/>
        <v>Koeleria vallesiana</v>
      </c>
    </row>
    <row r="156" spans="1:13" ht="15.6" x14ac:dyDescent="0.3">
      <c r="A156" s="11" t="s">
        <v>1431</v>
      </c>
      <c r="B156" s="44" t="s">
        <v>68</v>
      </c>
      <c r="C156" s="11" t="s">
        <v>69</v>
      </c>
      <c r="D156" s="12" t="s">
        <v>598</v>
      </c>
      <c r="E156" s="12" t="s">
        <v>599</v>
      </c>
      <c r="F156" s="13">
        <v>41783</v>
      </c>
      <c r="G156" s="7" t="s">
        <v>121</v>
      </c>
      <c r="H156" s="1" t="str">
        <f t="shared" si="4"/>
        <v>30TVN373545: Hoz de Arreba. Encinar, 829 m. 24-5-2014 [JG123]</v>
      </c>
      <c r="I156" s="14" t="s">
        <v>17</v>
      </c>
      <c r="J156" s="14" t="s">
        <v>596</v>
      </c>
      <c r="K156" s="14" t="s">
        <v>597</v>
      </c>
      <c r="L156" s="15"/>
      <c r="M156" s="7" t="str">
        <f t="shared" si="5"/>
        <v>Koeleria vallesiana</v>
      </c>
    </row>
    <row r="157" spans="1:13" ht="15.6" x14ac:dyDescent="0.3">
      <c r="A157" s="11" t="s">
        <v>1431</v>
      </c>
      <c r="B157" s="44" t="s">
        <v>148</v>
      </c>
      <c r="C157" s="11" t="s">
        <v>149</v>
      </c>
      <c r="D157" s="17" t="s">
        <v>600</v>
      </c>
      <c r="E157" s="12" t="s">
        <v>601</v>
      </c>
      <c r="F157" s="13">
        <v>41799</v>
      </c>
      <c r="G157" s="7" t="s">
        <v>24</v>
      </c>
      <c r="H157" s="1" t="str">
        <f t="shared" si="4"/>
        <v>30TVN371543: Hoz de Arreba. Quejigar, 839 m. 9-6-2014 [JG144]</v>
      </c>
      <c r="I157" s="19" t="s">
        <v>17</v>
      </c>
      <c r="J157" s="14" t="s">
        <v>596</v>
      </c>
      <c r="K157" s="14" t="s">
        <v>597</v>
      </c>
      <c r="L157" s="15"/>
      <c r="M157" s="7" t="str">
        <f t="shared" si="5"/>
        <v>Koeleria vallesiana</v>
      </c>
    </row>
    <row r="158" spans="1:13" ht="15.6" x14ac:dyDescent="0.3">
      <c r="A158" s="11" t="s">
        <v>1431</v>
      </c>
      <c r="B158" s="44" t="s">
        <v>267</v>
      </c>
      <c r="C158" s="11" t="s">
        <v>268</v>
      </c>
      <c r="D158" s="12" t="s">
        <v>602</v>
      </c>
      <c r="E158" s="12" t="s">
        <v>603</v>
      </c>
      <c r="F158" s="13">
        <v>41796</v>
      </c>
      <c r="G158" s="7" t="s">
        <v>144</v>
      </c>
      <c r="H158" s="1" t="str">
        <f t="shared" si="4"/>
        <v>30TVN367537: Hoz de Arreba. Quejigar, 732 m. 6-6-2014 [JG158]</v>
      </c>
      <c r="I158" s="14" t="s">
        <v>17</v>
      </c>
      <c r="J158" s="14" t="s">
        <v>596</v>
      </c>
      <c r="K158" s="14" t="s">
        <v>597</v>
      </c>
      <c r="L158" s="15"/>
      <c r="M158" s="7" t="str">
        <f t="shared" si="5"/>
        <v>Koeleria vallesiana</v>
      </c>
    </row>
    <row r="159" spans="1:13" ht="15.6" x14ac:dyDescent="0.3">
      <c r="A159" s="11" t="s">
        <v>1431</v>
      </c>
      <c r="B159" s="44" t="s">
        <v>301</v>
      </c>
      <c r="C159" s="11" t="s">
        <v>302</v>
      </c>
      <c r="D159" s="17" t="s">
        <v>604</v>
      </c>
      <c r="E159" s="12" t="s">
        <v>605</v>
      </c>
      <c r="F159" s="13">
        <v>41798</v>
      </c>
      <c r="G159" s="7" t="s">
        <v>86</v>
      </c>
      <c r="H159" s="1" t="str">
        <f t="shared" si="4"/>
        <v>30TVN365530: Hoz de Arreba. Encinar, 883 m. 8-6-2014 [JG175]</v>
      </c>
      <c r="I159" s="19" t="s">
        <v>17</v>
      </c>
      <c r="J159" s="14" t="s">
        <v>596</v>
      </c>
      <c r="K159" s="14" t="s">
        <v>597</v>
      </c>
      <c r="L159" s="15"/>
      <c r="M159" s="7" t="str">
        <f t="shared" si="5"/>
        <v>Koeleria vallesiana</v>
      </c>
    </row>
    <row r="160" spans="1:13" ht="15.6" x14ac:dyDescent="0.3">
      <c r="A160" s="11" t="s">
        <v>1432</v>
      </c>
      <c r="B160" s="44" t="s">
        <v>573</v>
      </c>
      <c r="C160" s="11" t="s">
        <v>574</v>
      </c>
      <c r="D160" s="12" t="s">
        <v>606</v>
      </c>
      <c r="E160" s="12" t="s">
        <v>607</v>
      </c>
      <c r="F160" s="13">
        <v>41804</v>
      </c>
      <c r="G160" s="7" t="s">
        <v>94</v>
      </c>
      <c r="H160" s="1" t="str">
        <f t="shared" si="4"/>
        <v>30TVN332537: Cilleruelo de Bezana. Hayedo de Carrales, 996 m. 14-6-2014 [JG245]</v>
      </c>
      <c r="I160" s="14" t="s">
        <v>17</v>
      </c>
      <c r="J160" s="14" t="s">
        <v>608</v>
      </c>
      <c r="K160" s="14" t="s">
        <v>609</v>
      </c>
      <c r="L160" s="15"/>
      <c r="M160" s="7" t="str">
        <f t="shared" si="5"/>
        <v>Melica uniflora</v>
      </c>
    </row>
    <row r="161" spans="1:13" ht="15.6" x14ac:dyDescent="0.3">
      <c r="A161" s="11" t="s">
        <v>1432</v>
      </c>
      <c r="B161" s="44" t="s">
        <v>43</v>
      </c>
      <c r="C161" s="11" t="s">
        <v>44</v>
      </c>
      <c r="D161" s="12" t="s">
        <v>610</v>
      </c>
      <c r="E161" s="12" t="s">
        <v>611</v>
      </c>
      <c r="F161" s="13">
        <v>41781</v>
      </c>
      <c r="G161" s="7" t="s">
        <v>38</v>
      </c>
      <c r="H161" s="1" t="str">
        <f t="shared" si="4"/>
        <v>30TVN387579: San Cibrián. Hayedo, 756 m. 22-5-2014 [JG289]</v>
      </c>
      <c r="I161" s="14" t="s">
        <v>17</v>
      </c>
      <c r="J161" s="14" t="s">
        <v>608</v>
      </c>
      <c r="K161" s="14" t="s">
        <v>609</v>
      </c>
      <c r="L161" s="15"/>
      <c r="M161" s="7" t="str">
        <f t="shared" si="5"/>
        <v>Melica uniflora</v>
      </c>
    </row>
    <row r="162" spans="1:13" ht="15.6" x14ac:dyDescent="0.3">
      <c r="A162" s="11" t="s">
        <v>1433</v>
      </c>
      <c r="B162" s="44" t="s">
        <v>172</v>
      </c>
      <c r="C162" s="11" t="s">
        <v>173</v>
      </c>
      <c r="D162" s="21" t="s">
        <v>612</v>
      </c>
      <c r="E162" s="12" t="s">
        <v>613</v>
      </c>
      <c r="F162" s="13">
        <v>41798</v>
      </c>
      <c r="G162" s="7" t="s">
        <v>86</v>
      </c>
      <c r="H162" s="1" t="str">
        <f t="shared" si="4"/>
        <v>30TVN365521: Munilla. Quejigar, 944 m. 8-6-2014 [JG377]</v>
      </c>
      <c r="I162" s="19" t="s">
        <v>17</v>
      </c>
      <c r="J162" s="14" t="s">
        <v>614</v>
      </c>
      <c r="K162" s="14" t="s">
        <v>615</v>
      </c>
      <c r="L162" s="15"/>
      <c r="M162" s="7" t="str">
        <f t="shared" si="5"/>
        <v>Phleum pratense</v>
      </c>
    </row>
    <row r="163" spans="1:13" ht="15.6" x14ac:dyDescent="0.3">
      <c r="A163" s="4" t="s">
        <v>1434</v>
      </c>
      <c r="B163" s="44" t="s">
        <v>512</v>
      </c>
      <c r="C163" s="4" t="s">
        <v>513</v>
      </c>
      <c r="D163" s="23" t="s">
        <v>616</v>
      </c>
      <c r="E163" s="5" t="s">
        <v>617</v>
      </c>
      <c r="F163" s="6">
        <v>41806</v>
      </c>
      <c r="G163" s="7" t="s">
        <v>32</v>
      </c>
      <c r="H163" s="1" t="str">
        <f t="shared" si="4"/>
        <v>30TVN308588: Cilleruelo de Bezana. Carballeda, 806 m. 16-6-2014 [JG027]</v>
      </c>
      <c r="I163" s="18" t="s">
        <v>17</v>
      </c>
      <c r="J163" s="8" t="s">
        <v>618</v>
      </c>
      <c r="K163" s="8" t="s">
        <v>619</v>
      </c>
      <c r="L163" s="9"/>
      <c r="M163" s="10" t="str">
        <f t="shared" si="5"/>
        <v>Poa trivialis</v>
      </c>
    </row>
    <row r="164" spans="1:13" ht="15.6" x14ac:dyDescent="0.3">
      <c r="A164" s="11" t="s">
        <v>1434</v>
      </c>
      <c r="B164" s="44" t="s">
        <v>131</v>
      </c>
      <c r="C164" s="11" t="s">
        <v>132</v>
      </c>
      <c r="D164" s="12" t="s">
        <v>620</v>
      </c>
      <c r="E164" s="12" t="s">
        <v>621</v>
      </c>
      <c r="F164" s="13">
        <v>41808</v>
      </c>
      <c r="G164" s="7" t="s">
        <v>134</v>
      </c>
      <c r="H164" s="1" t="str">
        <f t="shared" si="4"/>
        <v>30TVN355608: Castrillo de Bezana. Melojar, 1007 m. 18-6-2014 [JG301]</v>
      </c>
      <c r="I164" s="14" t="s">
        <v>17</v>
      </c>
      <c r="J164" s="14" t="s">
        <v>618</v>
      </c>
      <c r="K164" s="14" t="s">
        <v>619</v>
      </c>
      <c r="L164" s="15"/>
      <c r="M164" s="7" t="str">
        <f t="shared" si="5"/>
        <v>Poa trivialis</v>
      </c>
    </row>
    <row r="165" spans="1:13" ht="15.6" x14ac:dyDescent="0.3">
      <c r="A165" s="4" t="s">
        <v>1434</v>
      </c>
      <c r="B165" s="44" t="s">
        <v>118</v>
      </c>
      <c r="C165" s="4" t="s">
        <v>119</v>
      </c>
      <c r="D165" s="23" t="s">
        <v>622</v>
      </c>
      <c r="E165" s="5" t="s">
        <v>623</v>
      </c>
      <c r="F165" s="6">
        <v>41800</v>
      </c>
      <c r="G165" s="7" t="s">
        <v>198</v>
      </c>
      <c r="H165" s="1" t="str">
        <f t="shared" si="4"/>
        <v>30TVN303593: Cilleruelo de Bezana. Carballeda, 819 m. 10-6-2014 [JG398]</v>
      </c>
      <c r="I165" s="18" t="s">
        <v>17</v>
      </c>
      <c r="J165" s="8" t="s">
        <v>618</v>
      </c>
      <c r="K165" s="8" t="s">
        <v>619</v>
      </c>
      <c r="L165" s="9"/>
      <c r="M165" s="10" t="str">
        <f t="shared" si="5"/>
        <v>Poa trivialis</v>
      </c>
    </row>
    <row r="166" spans="1:13" ht="15.6" x14ac:dyDescent="0.3">
      <c r="A166" s="11" t="s">
        <v>1435</v>
      </c>
      <c r="B166" s="44" t="s">
        <v>187</v>
      </c>
      <c r="C166" s="11" t="s">
        <v>188</v>
      </c>
      <c r="D166" s="12" t="s">
        <v>624</v>
      </c>
      <c r="E166" s="12" t="s">
        <v>625</v>
      </c>
      <c r="F166" s="13">
        <v>41796</v>
      </c>
      <c r="G166" s="7" t="s">
        <v>144</v>
      </c>
      <c r="H166" s="1" t="str">
        <f t="shared" si="4"/>
        <v>30TVN366512: Munilla. Melojar, 764 m. 6-6-2014 [JG318]</v>
      </c>
      <c r="I166" s="19" t="s">
        <v>17</v>
      </c>
      <c r="J166" s="14" t="s">
        <v>626</v>
      </c>
      <c r="K166" s="14" t="s">
        <v>627</v>
      </c>
      <c r="L166" s="16"/>
      <c r="M166" s="7" t="str">
        <f t="shared" si="5"/>
        <v>Pseudoarrhenatherum longifolium</v>
      </c>
    </row>
    <row r="167" spans="1:13" ht="15.6" x14ac:dyDescent="0.3">
      <c r="A167" s="11" t="s">
        <v>1436</v>
      </c>
      <c r="B167" s="44" t="s">
        <v>73</v>
      </c>
      <c r="C167" s="11" t="s">
        <v>74</v>
      </c>
      <c r="D167" s="21" t="s">
        <v>628</v>
      </c>
      <c r="E167" s="12" t="s">
        <v>629</v>
      </c>
      <c r="F167" s="13">
        <v>41805</v>
      </c>
      <c r="G167" s="7" t="s">
        <v>66</v>
      </c>
      <c r="H167" s="1" t="str">
        <f t="shared" si="4"/>
        <v>30TVN407532: Cubillos del Rojo. Quejigar, 894 m. 15-6-2014 [JG079]</v>
      </c>
      <c r="I167" s="19" t="s">
        <v>17</v>
      </c>
      <c r="J167" s="14" t="s">
        <v>630</v>
      </c>
      <c r="K167" s="14" t="s">
        <v>631</v>
      </c>
      <c r="L167" s="15" t="s">
        <v>632</v>
      </c>
      <c r="M167" s="7" t="str">
        <f t="shared" si="5"/>
        <v>Sesleria argentea</v>
      </c>
    </row>
    <row r="168" spans="1:13" ht="15.6" x14ac:dyDescent="0.3">
      <c r="A168" s="11" t="s">
        <v>1436</v>
      </c>
      <c r="B168" s="44" t="s">
        <v>43</v>
      </c>
      <c r="C168" s="11" t="s">
        <v>44</v>
      </c>
      <c r="D168" s="12" t="s">
        <v>633</v>
      </c>
      <c r="E168" s="12" t="s">
        <v>634</v>
      </c>
      <c r="F168" s="13">
        <v>41792</v>
      </c>
      <c r="G168" s="7" t="s">
        <v>46</v>
      </c>
      <c r="H168" s="1" t="str">
        <f t="shared" si="4"/>
        <v>30TVN387579: San Cibrián. Hayedo, 756 m. 2-6-2014 [JG290]</v>
      </c>
      <c r="I168" s="14" t="s">
        <v>17</v>
      </c>
      <c r="J168" s="14" t="s">
        <v>630</v>
      </c>
      <c r="K168" s="14" t="s">
        <v>631</v>
      </c>
      <c r="L168" s="15" t="s">
        <v>632</v>
      </c>
      <c r="M168" s="7" t="str">
        <f t="shared" si="5"/>
        <v>Sesleria argentea</v>
      </c>
    </row>
    <row r="169" spans="1:13" ht="15.6" x14ac:dyDescent="0.3">
      <c r="A169" s="11" t="s">
        <v>1436</v>
      </c>
      <c r="B169" s="44" t="s">
        <v>172</v>
      </c>
      <c r="C169" s="11" t="s">
        <v>173</v>
      </c>
      <c r="D169" s="21" t="s">
        <v>635</v>
      </c>
      <c r="E169" s="12" t="s">
        <v>636</v>
      </c>
      <c r="F169" s="13">
        <v>41798</v>
      </c>
      <c r="G169" s="7" t="s">
        <v>86</v>
      </c>
      <c r="H169" s="1" t="str">
        <f t="shared" si="4"/>
        <v>30TVN365521: Munilla. Quejigar, 944 m. 8-6-2014 [JG378]</v>
      </c>
      <c r="I169" s="19" t="s">
        <v>17</v>
      </c>
      <c r="J169" s="14" t="s">
        <v>630</v>
      </c>
      <c r="K169" s="14" t="s">
        <v>631</v>
      </c>
      <c r="L169" s="15" t="s">
        <v>632</v>
      </c>
      <c r="M169" s="7" t="str">
        <f t="shared" si="5"/>
        <v>Sesleria argentea</v>
      </c>
    </row>
    <row r="170" spans="1:13" ht="15.6" x14ac:dyDescent="0.3">
      <c r="A170" s="4" t="s">
        <v>1437</v>
      </c>
      <c r="B170" s="44" t="s">
        <v>21</v>
      </c>
      <c r="C170" s="4" t="s">
        <v>22</v>
      </c>
      <c r="D170" s="5" t="s">
        <v>637</v>
      </c>
      <c r="E170" s="5" t="s">
        <v>638</v>
      </c>
      <c r="F170" s="6">
        <v>41799</v>
      </c>
      <c r="G170" s="7" t="s">
        <v>24</v>
      </c>
      <c r="H170" s="1" t="str">
        <f t="shared" si="4"/>
        <v>30TVN383582: San Cibrián. Hayedo, 750 m. 9-6-2014 [JG273]</v>
      </c>
      <c r="I170" s="8" t="s">
        <v>639</v>
      </c>
      <c r="J170" s="8" t="s">
        <v>640</v>
      </c>
      <c r="K170" s="8" t="s">
        <v>641</v>
      </c>
      <c r="L170" s="9"/>
      <c r="M170" s="10" t="str">
        <f t="shared" si="5"/>
        <v>Hypericum hirsutum</v>
      </c>
    </row>
    <row r="171" spans="1:13" ht="15.6" x14ac:dyDescent="0.3">
      <c r="A171" s="11" t="s">
        <v>1438</v>
      </c>
      <c r="B171" s="44" t="s">
        <v>73</v>
      </c>
      <c r="C171" s="11" t="s">
        <v>74</v>
      </c>
      <c r="D171" s="12" t="s">
        <v>642</v>
      </c>
      <c r="E171" s="12" t="s">
        <v>643</v>
      </c>
      <c r="F171" s="13">
        <v>41805</v>
      </c>
      <c r="G171" s="7" t="s">
        <v>66</v>
      </c>
      <c r="H171" s="1" t="str">
        <f t="shared" si="4"/>
        <v>30TVN407532: Cubillos del Rojo. Quejigar, 894 m. 15-6-2014 [JG080]</v>
      </c>
      <c r="I171" s="14" t="s">
        <v>639</v>
      </c>
      <c r="J171" s="14" t="s">
        <v>640</v>
      </c>
      <c r="K171" s="14" t="s">
        <v>644</v>
      </c>
      <c r="L171" s="15"/>
      <c r="M171" s="7" t="str">
        <f t="shared" si="5"/>
        <v>Hypericum pulchrum</v>
      </c>
    </row>
    <row r="172" spans="1:13" ht="15.6" x14ac:dyDescent="0.3">
      <c r="A172" s="11" t="s">
        <v>1438</v>
      </c>
      <c r="B172" s="44" t="s">
        <v>187</v>
      </c>
      <c r="C172" s="11" t="s">
        <v>188</v>
      </c>
      <c r="D172" s="12" t="s">
        <v>645</v>
      </c>
      <c r="E172" s="12" t="s">
        <v>646</v>
      </c>
      <c r="F172" s="13">
        <v>41796</v>
      </c>
      <c r="G172" s="7" t="s">
        <v>144</v>
      </c>
      <c r="H172" s="1" t="str">
        <f t="shared" si="4"/>
        <v>30TVN366512: Munilla. Melojar, 764 m. 6-6-2014 [JG319]</v>
      </c>
      <c r="I172" s="14" t="s">
        <v>639</v>
      </c>
      <c r="J172" s="14" t="s">
        <v>640</v>
      </c>
      <c r="K172" s="14" t="s">
        <v>644</v>
      </c>
      <c r="L172" s="16"/>
      <c r="M172" s="7" t="str">
        <f t="shared" si="5"/>
        <v>Hypericum pulchrum</v>
      </c>
    </row>
    <row r="173" spans="1:13" ht="15.6" x14ac:dyDescent="0.3">
      <c r="A173" s="4" t="s">
        <v>1438</v>
      </c>
      <c r="B173" s="44" t="s">
        <v>192</v>
      </c>
      <c r="C173" s="11" t="s">
        <v>193</v>
      </c>
      <c r="D173" s="5" t="s">
        <v>647</v>
      </c>
      <c r="E173" s="5" t="s">
        <v>648</v>
      </c>
      <c r="F173" s="6">
        <v>41793</v>
      </c>
      <c r="G173" s="7" t="s">
        <v>195</v>
      </c>
      <c r="H173" s="1" t="str">
        <f t="shared" si="4"/>
        <v>30TVN325592: Virtus. Melojar, 918 m. 3-6-2014 [JG348]</v>
      </c>
      <c r="I173" s="8" t="s">
        <v>639</v>
      </c>
      <c r="J173" s="8" t="s">
        <v>640</v>
      </c>
      <c r="K173" s="33" t="s">
        <v>644</v>
      </c>
      <c r="L173" s="9"/>
      <c r="M173" s="10" t="str">
        <f t="shared" si="5"/>
        <v>Hypericum pulchrum</v>
      </c>
    </row>
    <row r="174" spans="1:13" ht="15.6" x14ac:dyDescent="0.3">
      <c r="A174" s="11" t="s">
        <v>1439</v>
      </c>
      <c r="B174" s="44" t="s">
        <v>391</v>
      </c>
      <c r="C174" s="11" t="s">
        <v>392</v>
      </c>
      <c r="D174" s="12" t="s">
        <v>649</v>
      </c>
      <c r="E174" s="12" t="s">
        <v>650</v>
      </c>
      <c r="F174" s="13">
        <v>41793</v>
      </c>
      <c r="G174" s="7" t="s">
        <v>195</v>
      </c>
      <c r="H174" s="1" t="str">
        <f t="shared" si="4"/>
        <v>30TVN332571: Montoto. Hayedo, 905 m. 3-6-2014 [JG263]</v>
      </c>
      <c r="I174" s="14" t="s">
        <v>651</v>
      </c>
      <c r="J174" s="14" t="s">
        <v>652</v>
      </c>
      <c r="K174" s="14" t="s">
        <v>653</v>
      </c>
      <c r="L174" s="15"/>
      <c r="M174" s="7" t="str">
        <f t="shared" si="5"/>
        <v>Juncus conglomeratus</v>
      </c>
    </row>
    <row r="175" spans="1:13" ht="15.6" x14ac:dyDescent="0.3">
      <c r="A175" s="11" t="s">
        <v>1440</v>
      </c>
      <c r="B175" s="44" t="s">
        <v>384</v>
      </c>
      <c r="C175" s="11" t="s">
        <v>385</v>
      </c>
      <c r="D175" s="12" t="s">
        <v>654</v>
      </c>
      <c r="E175" s="12" t="s">
        <v>655</v>
      </c>
      <c r="F175" s="13">
        <v>41796</v>
      </c>
      <c r="G175" s="7" t="s">
        <v>144</v>
      </c>
      <c r="H175" s="1" t="str">
        <f t="shared" si="4"/>
        <v>30TVN356517: Munilla. Quejigar, 905 m. 6-6-2014 [JG357]</v>
      </c>
      <c r="I175" s="14" t="s">
        <v>651</v>
      </c>
      <c r="J175" s="14" t="s">
        <v>656</v>
      </c>
      <c r="K175" s="14" t="s">
        <v>657</v>
      </c>
      <c r="L175" s="15"/>
      <c r="M175" s="7" t="str">
        <f t="shared" si="5"/>
        <v>Luzula forsteri subsp. forsteri</v>
      </c>
    </row>
    <row r="176" spans="1:13" ht="15.6" x14ac:dyDescent="0.3">
      <c r="A176" s="11" t="s">
        <v>1441</v>
      </c>
      <c r="B176" s="44" t="s">
        <v>35</v>
      </c>
      <c r="C176" s="11" t="s">
        <v>36</v>
      </c>
      <c r="D176" s="12" t="s">
        <v>658</v>
      </c>
      <c r="E176" s="12" t="s">
        <v>659</v>
      </c>
      <c r="F176" s="13">
        <v>41746</v>
      </c>
      <c r="G176" s="7" t="s">
        <v>230</v>
      </c>
      <c r="H176" s="1" t="str">
        <f t="shared" si="4"/>
        <v>30TVN324545: Cilleruelo de Bezana. Hayedo de Carrales, 962 m. 17-4-2014 [JG218]</v>
      </c>
      <c r="I176" s="14" t="s">
        <v>651</v>
      </c>
      <c r="J176" s="14" t="s">
        <v>656</v>
      </c>
      <c r="K176" s="14" t="s">
        <v>397</v>
      </c>
      <c r="L176" s="15"/>
      <c r="M176" s="7" t="str">
        <f t="shared" si="5"/>
        <v>Luzula sylvatica subsp. sylvatica</v>
      </c>
    </row>
    <row r="177" spans="1:13" ht="15.6" x14ac:dyDescent="0.3">
      <c r="A177" s="11" t="s">
        <v>1442</v>
      </c>
      <c r="B177" s="44" t="s">
        <v>55</v>
      </c>
      <c r="C177" s="11" t="s">
        <v>56</v>
      </c>
      <c r="D177" s="12" t="s">
        <v>660</v>
      </c>
      <c r="E177" s="12" t="s">
        <v>661</v>
      </c>
      <c r="F177" s="13">
        <v>41795</v>
      </c>
      <c r="G177" s="7" t="s">
        <v>58</v>
      </c>
      <c r="H177" s="1" t="str">
        <f t="shared" si="4"/>
        <v>30TVN364557: Torres de Abajo. Encinar, 855 m. 5-6-2014 [JG049]</v>
      </c>
      <c r="I177" s="14" t="s">
        <v>662</v>
      </c>
      <c r="J177" s="14" t="s">
        <v>663</v>
      </c>
      <c r="K177" s="14" t="s">
        <v>664</v>
      </c>
      <c r="L177" s="15"/>
      <c r="M177" s="7" t="str">
        <f t="shared" si="5"/>
        <v>Acinos alpinus</v>
      </c>
    </row>
    <row r="178" spans="1:13" ht="15.6" x14ac:dyDescent="0.3">
      <c r="A178" s="11" t="s">
        <v>1442</v>
      </c>
      <c r="B178" s="44" t="s">
        <v>83</v>
      </c>
      <c r="C178" s="11" t="s">
        <v>84</v>
      </c>
      <c r="D178" s="17" t="s">
        <v>665</v>
      </c>
      <c r="E178" s="12" t="s">
        <v>666</v>
      </c>
      <c r="F178" s="13">
        <v>41798</v>
      </c>
      <c r="G178" s="7" t="s">
        <v>86</v>
      </c>
      <c r="H178" s="1" t="str">
        <f t="shared" si="4"/>
        <v>30TVN350545: Torres de Abajo. Encinar, 929 m. 8-6-2014 [JG063]</v>
      </c>
      <c r="I178" s="14" t="s">
        <v>662</v>
      </c>
      <c r="J178" s="14" t="s">
        <v>663</v>
      </c>
      <c r="K178" s="14" t="s">
        <v>664</v>
      </c>
      <c r="L178" s="15"/>
      <c r="M178" s="7" t="str">
        <f t="shared" si="5"/>
        <v>Acinos alpinus</v>
      </c>
    </row>
    <row r="179" spans="1:13" ht="15.6" x14ac:dyDescent="0.3">
      <c r="A179" s="11" t="s">
        <v>1442</v>
      </c>
      <c r="B179" s="44" t="s">
        <v>68</v>
      </c>
      <c r="C179" s="11" t="s">
        <v>69</v>
      </c>
      <c r="D179" s="12" t="s">
        <v>667</v>
      </c>
      <c r="E179" s="12" t="s">
        <v>668</v>
      </c>
      <c r="F179" s="13">
        <v>41783</v>
      </c>
      <c r="G179" s="7" t="s">
        <v>121</v>
      </c>
      <c r="H179" s="1" t="str">
        <f t="shared" si="4"/>
        <v>30TVN373545: Hoz de Arreba. Encinar, 829 m. 24-5-2014 [JG124]</v>
      </c>
      <c r="I179" s="14" t="s">
        <v>662</v>
      </c>
      <c r="J179" s="14" t="s">
        <v>663</v>
      </c>
      <c r="K179" s="14" t="s">
        <v>664</v>
      </c>
      <c r="L179" s="15"/>
      <c r="M179" s="7" t="str">
        <f t="shared" si="5"/>
        <v>Acinos alpinus</v>
      </c>
    </row>
    <row r="180" spans="1:13" ht="15.6" x14ac:dyDescent="0.3">
      <c r="A180" s="4" t="s">
        <v>1442</v>
      </c>
      <c r="B180" s="44" t="s">
        <v>223</v>
      </c>
      <c r="C180" s="4" t="s">
        <v>224</v>
      </c>
      <c r="D180" s="5" t="s">
        <v>669</v>
      </c>
      <c r="E180" s="5" t="s">
        <v>670</v>
      </c>
      <c r="F180" s="6">
        <v>41804</v>
      </c>
      <c r="G180" s="7" t="s">
        <v>94</v>
      </c>
      <c r="H180" s="1" t="str">
        <f t="shared" si="4"/>
        <v>30TVN287569: Cilleruelo de Bezana. Hayedo de Carrales. 14-6-2014 [JG205]</v>
      </c>
      <c r="I180" s="8" t="s">
        <v>662</v>
      </c>
      <c r="J180" s="8" t="s">
        <v>663</v>
      </c>
      <c r="K180" s="8" t="s">
        <v>664</v>
      </c>
      <c r="L180" s="9"/>
      <c r="M180" s="10" t="str">
        <f t="shared" si="5"/>
        <v>Acinos alpinus</v>
      </c>
    </row>
    <row r="181" spans="1:13" ht="15.6" x14ac:dyDescent="0.3">
      <c r="A181" s="11" t="s">
        <v>1442</v>
      </c>
      <c r="B181" s="44" t="s">
        <v>172</v>
      </c>
      <c r="C181" s="11" t="s">
        <v>173</v>
      </c>
      <c r="D181" s="21" t="s">
        <v>671</v>
      </c>
      <c r="E181" s="12" t="s">
        <v>672</v>
      </c>
      <c r="F181" s="13">
        <v>41798</v>
      </c>
      <c r="G181" s="7" t="s">
        <v>86</v>
      </c>
      <c r="H181" s="1" t="str">
        <f t="shared" si="4"/>
        <v>30TVN365521: Munilla. Quejigar, 944 m. 8-6-2014 [JG379]</v>
      </c>
      <c r="I181" s="14" t="s">
        <v>662</v>
      </c>
      <c r="J181" s="14" t="s">
        <v>663</v>
      </c>
      <c r="K181" s="14" t="s">
        <v>664</v>
      </c>
      <c r="L181" s="15"/>
      <c r="M181" s="7" t="str">
        <f t="shared" si="5"/>
        <v>Acinos alpinus</v>
      </c>
    </row>
    <row r="182" spans="1:13" ht="15.6" x14ac:dyDescent="0.3">
      <c r="A182" s="4" t="s">
        <v>1443</v>
      </c>
      <c r="B182" s="44" t="s">
        <v>512</v>
      </c>
      <c r="C182" s="4" t="s">
        <v>513</v>
      </c>
      <c r="D182" s="5" t="s">
        <v>673</v>
      </c>
      <c r="E182" s="5" t="s">
        <v>674</v>
      </c>
      <c r="F182" s="6">
        <v>41806</v>
      </c>
      <c r="G182" s="7" t="s">
        <v>32</v>
      </c>
      <c r="H182" s="1" t="str">
        <f t="shared" si="4"/>
        <v>30TVN308588: Cilleruelo de Bezana. Carballeda, 806 m. 16-6-2014 [JG028]</v>
      </c>
      <c r="I182" s="8" t="s">
        <v>662</v>
      </c>
      <c r="J182" s="8" t="s">
        <v>675</v>
      </c>
      <c r="K182" s="8" t="s">
        <v>676</v>
      </c>
      <c r="L182" s="9"/>
      <c r="M182" s="10" t="str">
        <f t="shared" si="5"/>
        <v>Ajuga reptans</v>
      </c>
    </row>
    <row r="183" spans="1:13" ht="15.6" x14ac:dyDescent="0.3">
      <c r="A183" s="11" t="s">
        <v>1443</v>
      </c>
      <c r="B183" s="44" t="s">
        <v>99</v>
      </c>
      <c r="C183" s="11" t="s">
        <v>100</v>
      </c>
      <c r="D183" s="12" t="s">
        <v>677</v>
      </c>
      <c r="E183" s="12" t="s">
        <v>678</v>
      </c>
      <c r="F183" s="13">
        <v>41792</v>
      </c>
      <c r="G183" s="7" t="s">
        <v>46</v>
      </c>
      <c r="H183" s="1" t="str">
        <f t="shared" si="4"/>
        <v>30TVN315550: Cilleruelo de Bezana. Hayedo de Carrales, 981 m. 2-6-2014 [JG231]</v>
      </c>
      <c r="I183" s="14" t="s">
        <v>662</v>
      </c>
      <c r="J183" s="14" t="s">
        <v>675</v>
      </c>
      <c r="K183" s="14" t="s">
        <v>676</v>
      </c>
      <c r="L183" s="15"/>
      <c r="M183" s="7" t="str">
        <f t="shared" si="5"/>
        <v>Ajuga reptans</v>
      </c>
    </row>
    <row r="184" spans="1:13" ht="15.6" x14ac:dyDescent="0.3">
      <c r="A184" s="11" t="s">
        <v>1444</v>
      </c>
      <c r="B184" s="44" t="s">
        <v>35</v>
      </c>
      <c r="C184" s="11" t="s">
        <v>36</v>
      </c>
      <c r="D184" s="12" t="s">
        <v>679</v>
      </c>
      <c r="E184" s="12" t="s">
        <v>680</v>
      </c>
      <c r="F184" s="13">
        <v>41781</v>
      </c>
      <c r="G184" s="7" t="s">
        <v>38</v>
      </c>
      <c r="H184" s="1" t="str">
        <f t="shared" si="4"/>
        <v>30TVN324545: Cilleruelo de Bezana. Hayedo de Carrales, 962 m. 22-5-2014 [JG219]</v>
      </c>
      <c r="I184" s="14" t="s">
        <v>662</v>
      </c>
      <c r="J184" s="14" t="s">
        <v>681</v>
      </c>
      <c r="K184" s="14" t="s">
        <v>682</v>
      </c>
      <c r="L184" s="15"/>
      <c r="M184" s="7" t="str">
        <f t="shared" si="5"/>
        <v>Lamium galeobdolon subsp. montanum</v>
      </c>
    </row>
    <row r="185" spans="1:13" ht="15.6" x14ac:dyDescent="0.3">
      <c r="A185" s="11" t="s">
        <v>1444</v>
      </c>
      <c r="B185" s="44" t="s">
        <v>43</v>
      </c>
      <c r="C185" s="11" t="s">
        <v>44</v>
      </c>
      <c r="D185" s="12" t="s">
        <v>683</v>
      </c>
      <c r="E185" s="12" t="s">
        <v>684</v>
      </c>
      <c r="F185" s="13">
        <v>41792</v>
      </c>
      <c r="G185" s="7" t="s">
        <v>46</v>
      </c>
      <c r="H185" s="1" t="str">
        <f t="shared" si="4"/>
        <v>30TVN387579: San Cibrián. Hayedo, 756 m. 2-6-2014 [JG291]</v>
      </c>
      <c r="I185" s="14" t="s">
        <v>662</v>
      </c>
      <c r="J185" s="14" t="s">
        <v>681</v>
      </c>
      <c r="K185" s="14" t="s">
        <v>682</v>
      </c>
      <c r="L185" s="7"/>
      <c r="M185" s="7" t="str">
        <f t="shared" si="5"/>
        <v>Lamium galeobdolon subsp. montanum</v>
      </c>
    </row>
    <row r="186" spans="1:13" ht="15.6" x14ac:dyDescent="0.3">
      <c r="A186" s="4" t="s">
        <v>1445</v>
      </c>
      <c r="B186" s="44" t="s">
        <v>21</v>
      </c>
      <c r="C186" s="4" t="s">
        <v>22</v>
      </c>
      <c r="D186" s="5" t="s">
        <v>685</v>
      </c>
      <c r="E186" s="5" t="s">
        <v>686</v>
      </c>
      <c r="F186" s="6">
        <v>41799</v>
      </c>
      <c r="G186" s="7" t="s">
        <v>24</v>
      </c>
      <c r="H186" s="1" t="str">
        <f t="shared" si="4"/>
        <v>30TVN383582: San Cibrián. Hayedo, 750 m. 9-6-2014 [JG274]</v>
      </c>
      <c r="I186" s="8" t="s">
        <v>662</v>
      </c>
      <c r="J186" s="8" t="s">
        <v>681</v>
      </c>
      <c r="K186" s="8" t="s">
        <v>687</v>
      </c>
      <c r="L186" s="9"/>
      <c r="M186" s="10" t="str">
        <f t="shared" si="5"/>
        <v>Lamium maculatum</v>
      </c>
    </row>
    <row r="187" spans="1:13" ht="15.6" x14ac:dyDescent="0.3">
      <c r="A187" s="4" t="s">
        <v>1446</v>
      </c>
      <c r="B187" s="44" t="s">
        <v>451</v>
      </c>
      <c r="C187" s="11" t="s">
        <v>452</v>
      </c>
      <c r="D187" s="5" t="s">
        <v>688</v>
      </c>
      <c r="E187" s="5" t="s">
        <v>689</v>
      </c>
      <c r="F187" s="6">
        <v>41783</v>
      </c>
      <c r="G187" s="7" t="s">
        <v>121</v>
      </c>
      <c r="H187" s="1" t="str">
        <f t="shared" si="4"/>
        <v>30TVN359563: Torres de Abajo. Hayedo, 887 m. 24-5-2014 [JG254]</v>
      </c>
      <c r="I187" s="8" t="s">
        <v>662</v>
      </c>
      <c r="J187" s="8" t="s">
        <v>690</v>
      </c>
      <c r="K187" s="8" t="s">
        <v>691</v>
      </c>
      <c r="L187" s="9"/>
      <c r="M187" s="10" t="str">
        <f t="shared" si="5"/>
        <v>Melittis melissophyllum</v>
      </c>
    </row>
    <row r="188" spans="1:13" ht="15.6" x14ac:dyDescent="0.3">
      <c r="A188" s="11" t="s">
        <v>1446</v>
      </c>
      <c r="B188" s="44" t="s">
        <v>451</v>
      </c>
      <c r="C188" s="11" t="s">
        <v>452</v>
      </c>
      <c r="D188" s="12" t="s">
        <v>692</v>
      </c>
      <c r="E188" s="12" t="s">
        <v>693</v>
      </c>
      <c r="F188" s="13">
        <v>41792</v>
      </c>
      <c r="G188" s="7" t="s">
        <v>46</v>
      </c>
      <c r="H188" s="1" t="str">
        <f t="shared" si="4"/>
        <v>30TVN359563: Torres de Abajo. Hayedo, 887 m. 2-6-2014 [JG256]</v>
      </c>
      <c r="I188" s="14" t="s">
        <v>662</v>
      </c>
      <c r="J188" s="14" t="s">
        <v>690</v>
      </c>
      <c r="K188" s="14" t="s">
        <v>691</v>
      </c>
      <c r="L188" s="7"/>
      <c r="M188" s="7" t="str">
        <f t="shared" si="5"/>
        <v>Melittis melissophyllum</v>
      </c>
    </row>
    <row r="189" spans="1:13" ht="15.6" x14ac:dyDescent="0.3">
      <c r="A189" s="4" t="s">
        <v>1446</v>
      </c>
      <c r="B189" s="44" t="s">
        <v>21</v>
      </c>
      <c r="C189" s="4" t="s">
        <v>22</v>
      </c>
      <c r="D189" s="5" t="s">
        <v>694</v>
      </c>
      <c r="E189" s="5" t="s">
        <v>695</v>
      </c>
      <c r="F189" s="6">
        <v>41799</v>
      </c>
      <c r="G189" s="7" t="s">
        <v>24</v>
      </c>
      <c r="H189" s="1" t="str">
        <f t="shared" si="4"/>
        <v>30TVN383582: San Cibrián. Hayedo, 750 m. 9-6-2014 [JG275]</v>
      </c>
      <c r="I189" s="8" t="s">
        <v>662</v>
      </c>
      <c r="J189" s="8" t="s">
        <v>690</v>
      </c>
      <c r="K189" s="8" t="s">
        <v>691</v>
      </c>
      <c r="L189" s="34"/>
      <c r="M189" s="10" t="str">
        <f t="shared" si="5"/>
        <v>Melittis melissophyllum</v>
      </c>
    </row>
    <row r="190" spans="1:13" ht="15.6" x14ac:dyDescent="0.3">
      <c r="A190" s="11" t="s">
        <v>1447</v>
      </c>
      <c r="B190" s="44" t="s">
        <v>345</v>
      </c>
      <c r="C190" s="11" t="s">
        <v>346</v>
      </c>
      <c r="D190" s="17" t="s">
        <v>696</v>
      </c>
      <c r="E190" s="12" t="s">
        <v>697</v>
      </c>
      <c r="F190" s="13">
        <v>41807</v>
      </c>
      <c r="G190" s="7" t="s">
        <v>190</v>
      </c>
      <c r="H190" s="1" t="str">
        <f t="shared" si="4"/>
        <v>30TVN369513: Munilla. Melojar, 805 m. 17-6-2014 [JG337]</v>
      </c>
      <c r="I190" s="19" t="s">
        <v>662</v>
      </c>
      <c r="J190" s="14" t="s">
        <v>698</v>
      </c>
      <c r="K190" s="14" t="s">
        <v>699</v>
      </c>
      <c r="L190" s="15"/>
      <c r="M190" s="7" t="str">
        <f t="shared" si="5"/>
        <v>Nepeta nepetella</v>
      </c>
    </row>
    <row r="191" spans="1:13" ht="15.6" x14ac:dyDescent="0.3">
      <c r="A191" s="11" t="s">
        <v>1448</v>
      </c>
      <c r="B191" s="44" t="s">
        <v>267</v>
      </c>
      <c r="C191" s="11" t="s">
        <v>268</v>
      </c>
      <c r="D191" s="12" t="s">
        <v>700</v>
      </c>
      <c r="E191" s="12" t="s">
        <v>701</v>
      </c>
      <c r="F191" s="13">
        <v>41796</v>
      </c>
      <c r="G191" s="7" t="s">
        <v>144</v>
      </c>
      <c r="H191" s="1" t="str">
        <f t="shared" si="4"/>
        <v>30TVN367537: Hoz de Arreba. Quejigar, 732 m. 6-6-2014 [JG159]</v>
      </c>
      <c r="I191" s="14" t="s">
        <v>662</v>
      </c>
      <c r="J191" s="14" t="s">
        <v>702</v>
      </c>
      <c r="K191" s="14" t="s">
        <v>703</v>
      </c>
      <c r="L191" s="15"/>
      <c r="M191" s="7" t="str">
        <f t="shared" si="5"/>
        <v>Prunella laciniata</v>
      </c>
    </row>
    <row r="192" spans="1:13" ht="15.6" x14ac:dyDescent="0.3">
      <c r="A192" s="11" t="s">
        <v>1449</v>
      </c>
      <c r="B192" s="44" t="s">
        <v>73</v>
      </c>
      <c r="C192" s="11" t="s">
        <v>74</v>
      </c>
      <c r="D192" s="12" t="s">
        <v>704</v>
      </c>
      <c r="E192" s="12" t="s">
        <v>705</v>
      </c>
      <c r="F192" s="13">
        <v>41805</v>
      </c>
      <c r="G192" s="7" t="s">
        <v>66</v>
      </c>
      <c r="H192" s="1" t="str">
        <f t="shared" si="4"/>
        <v>30TVN407532: Cubillos del Rojo. Quejigar, 894 m. 15-6-2014 [JG081]</v>
      </c>
      <c r="I192" s="14" t="s">
        <v>662</v>
      </c>
      <c r="J192" s="14" t="s">
        <v>702</v>
      </c>
      <c r="K192" s="14" t="s">
        <v>504</v>
      </c>
      <c r="L192" s="15"/>
      <c r="M192" s="7" t="str">
        <f t="shared" si="5"/>
        <v>Prunella vulgaris</v>
      </c>
    </row>
    <row r="193" spans="1:13" ht="15.6" x14ac:dyDescent="0.3">
      <c r="A193" s="11" t="s">
        <v>1449</v>
      </c>
      <c r="B193" s="44" t="s">
        <v>345</v>
      </c>
      <c r="C193" s="11" t="s">
        <v>346</v>
      </c>
      <c r="D193" s="11" t="s">
        <v>706</v>
      </c>
      <c r="E193" s="12" t="s">
        <v>707</v>
      </c>
      <c r="F193" s="13">
        <v>41807</v>
      </c>
      <c r="G193" s="7" t="s">
        <v>190</v>
      </c>
      <c r="H193" s="1" t="str">
        <f t="shared" si="4"/>
        <v>30TVN369513: Munilla. Melojar, 805 m. 17-6-2014 [JG338]</v>
      </c>
      <c r="I193" s="19" t="s">
        <v>662</v>
      </c>
      <c r="J193" s="14" t="s">
        <v>702</v>
      </c>
      <c r="K193" s="14" t="s">
        <v>504</v>
      </c>
      <c r="L193" s="15"/>
      <c r="M193" s="7" t="str">
        <f t="shared" si="5"/>
        <v>Prunella vulgaris</v>
      </c>
    </row>
    <row r="194" spans="1:13" ht="15.6" x14ac:dyDescent="0.3">
      <c r="A194" s="11" t="s">
        <v>1450</v>
      </c>
      <c r="B194" s="44" t="s">
        <v>83</v>
      </c>
      <c r="C194" s="11" t="s">
        <v>84</v>
      </c>
      <c r="D194" s="12" t="s">
        <v>708</v>
      </c>
      <c r="E194" s="12" t="s">
        <v>709</v>
      </c>
      <c r="F194" s="13">
        <v>41798</v>
      </c>
      <c r="G194" s="7" t="s">
        <v>86</v>
      </c>
      <c r="H194" s="1" t="str">
        <f t="shared" ref="H194:H257" si="6">CONCATENATE(B194, ": ", C194, " ", G194, " ", "[", E194, "]")</f>
        <v>30TVN350545: Torres de Abajo. Encinar, 929 m. 8-6-2014 [JG064]</v>
      </c>
      <c r="I194" s="14" t="s">
        <v>662</v>
      </c>
      <c r="J194" s="14" t="s">
        <v>710</v>
      </c>
      <c r="K194" s="14" t="s">
        <v>711</v>
      </c>
      <c r="L194" s="15"/>
      <c r="M194" s="7" t="str">
        <f t="shared" ref="M194:M257" si="7">CONCATENATE(J194," ",K194)</f>
        <v>Stachys officinalis</v>
      </c>
    </row>
    <row r="195" spans="1:13" ht="15.6" x14ac:dyDescent="0.3">
      <c r="A195" s="11" t="s">
        <v>1450</v>
      </c>
      <c r="B195" s="44" t="s">
        <v>73</v>
      </c>
      <c r="C195" s="11" t="s">
        <v>74</v>
      </c>
      <c r="D195" s="12" t="s">
        <v>712</v>
      </c>
      <c r="E195" s="12" t="s">
        <v>713</v>
      </c>
      <c r="F195" s="13">
        <v>41805</v>
      </c>
      <c r="G195" s="7" t="s">
        <v>66</v>
      </c>
      <c r="H195" s="1" t="str">
        <f t="shared" si="6"/>
        <v>30TVN407532: Cubillos del Rojo. Quejigar, 894 m. 15-6-2014 [JG082]</v>
      </c>
      <c r="I195" s="14" t="s">
        <v>662</v>
      </c>
      <c r="J195" s="14" t="s">
        <v>710</v>
      </c>
      <c r="K195" s="14" t="s">
        <v>711</v>
      </c>
      <c r="L195" s="15"/>
      <c r="M195" s="7" t="str">
        <f t="shared" si="7"/>
        <v>Stachys officinalis</v>
      </c>
    </row>
    <row r="196" spans="1:13" ht="15.6" x14ac:dyDescent="0.3">
      <c r="A196" s="4" t="s">
        <v>1451</v>
      </c>
      <c r="B196" s="44" t="s">
        <v>29</v>
      </c>
      <c r="C196" s="5" t="s">
        <v>30</v>
      </c>
      <c r="D196" s="5" t="s">
        <v>714</v>
      </c>
      <c r="E196" s="5" t="s">
        <v>715</v>
      </c>
      <c r="F196" s="6">
        <v>41806</v>
      </c>
      <c r="G196" s="7" t="s">
        <v>32</v>
      </c>
      <c r="H196" s="1" t="str">
        <f t="shared" si="6"/>
        <v>30TVN369591: Argomedo. Melojar, 900 m. 16-6-2014 [JG014]</v>
      </c>
      <c r="I196" s="8" t="s">
        <v>662</v>
      </c>
      <c r="J196" s="8" t="s">
        <v>716</v>
      </c>
      <c r="K196" s="8" t="s">
        <v>717</v>
      </c>
      <c r="L196" s="9"/>
      <c r="M196" s="10" t="str">
        <f t="shared" si="7"/>
        <v>Thymus praecox subsp. britannicus</v>
      </c>
    </row>
    <row r="197" spans="1:13" ht="15.6" x14ac:dyDescent="0.3">
      <c r="A197" s="11" t="s">
        <v>1451</v>
      </c>
      <c r="B197" s="44" t="s">
        <v>68</v>
      </c>
      <c r="C197" s="11" t="s">
        <v>69</v>
      </c>
      <c r="D197" s="12" t="s">
        <v>718</v>
      </c>
      <c r="E197" s="12" t="s">
        <v>719</v>
      </c>
      <c r="F197" s="13">
        <v>41783</v>
      </c>
      <c r="G197" s="7" t="s">
        <v>121</v>
      </c>
      <c r="H197" s="1" t="str">
        <f t="shared" si="6"/>
        <v>30TVN373545: Hoz de Arreba. Encinar, 829 m. 24-5-2014 [JG125]</v>
      </c>
      <c r="I197" s="14" t="s">
        <v>662</v>
      </c>
      <c r="J197" s="14" t="s">
        <v>716</v>
      </c>
      <c r="K197" s="14" t="s">
        <v>717</v>
      </c>
      <c r="L197" s="15"/>
      <c r="M197" s="7" t="str">
        <f t="shared" si="7"/>
        <v>Thymus praecox subsp. britannicus</v>
      </c>
    </row>
    <row r="198" spans="1:13" ht="15.6" x14ac:dyDescent="0.3">
      <c r="A198" s="11" t="s">
        <v>1452</v>
      </c>
      <c r="B198" s="44" t="s">
        <v>83</v>
      </c>
      <c r="C198" s="11" t="s">
        <v>84</v>
      </c>
      <c r="D198" s="17" t="s">
        <v>720</v>
      </c>
      <c r="E198" s="12" t="s">
        <v>721</v>
      </c>
      <c r="F198" s="13">
        <v>41798</v>
      </c>
      <c r="G198" s="7" t="s">
        <v>86</v>
      </c>
      <c r="H198" s="1" t="str">
        <f t="shared" si="6"/>
        <v>30TVN350545: Torres de Abajo. Encinar, 929 m. 8-6-2014 [JG065]</v>
      </c>
      <c r="I198" s="14" t="s">
        <v>722</v>
      </c>
      <c r="J198" s="14" t="s">
        <v>723</v>
      </c>
      <c r="K198" s="14" t="s">
        <v>724</v>
      </c>
      <c r="L198" s="15"/>
      <c r="M198" s="7" t="str">
        <f t="shared" si="7"/>
        <v>Anthyllis vulneraria subsp. gandogeri</v>
      </c>
    </row>
    <row r="199" spans="1:13" ht="15.6" x14ac:dyDescent="0.3">
      <c r="A199" s="11" t="s">
        <v>1452</v>
      </c>
      <c r="B199" s="44" t="s">
        <v>63</v>
      </c>
      <c r="C199" s="11" t="s">
        <v>64</v>
      </c>
      <c r="D199" s="11" t="s">
        <v>725</v>
      </c>
      <c r="E199" s="12" t="s">
        <v>726</v>
      </c>
      <c r="F199" s="13">
        <v>41805</v>
      </c>
      <c r="G199" s="7" t="s">
        <v>66</v>
      </c>
      <c r="H199" s="1" t="str">
        <f t="shared" si="6"/>
        <v>30TVN408533: Cubillos del Rojo. Encinar, 901 m. 15-6-2014 [JG102]</v>
      </c>
      <c r="I199" s="14" t="s">
        <v>722</v>
      </c>
      <c r="J199" s="14" t="s">
        <v>723</v>
      </c>
      <c r="K199" s="14" t="s">
        <v>724</v>
      </c>
      <c r="L199" s="15"/>
      <c r="M199" s="7" t="str">
        <f t="shared" si="7"/>
        <v>Anthyllis vulneraria subsp. gandogeri</v>
      </c>
    </row>
    <row r="200" spans="1:13" ht="15.6" x14ac:dyDescent="0.3">
      <c r="A200" s="11" t="s">
        <v>1452</v>
      </c>
      <c r="B200" s="44" t="s">
        <v>301</v>
      </c>
      <c r="C200" s="11" t="s">
        <v>302</v>
      </c>
      <c r="D200" s="17" t="s">
        <v>727</v>
      </c>
      <c r="E200" s="12" t="s">
        <v>728</v>
      </c>
      <c r="F200" s="13">
        <v>41798</v>
      </c>
      <c r="G200" s="7" t="s">
        <v>86</v>
      </c>
      <c r="H200" s="1" t="str">
        <f t="shared" si="6"/>
        <v>30TVN365530: Hoz de Arreba. Encinar, 883 m. 8-6-2014 [JG176]</v>
      </c>
      <c r="I200" s="14" t="s">
        <v>722</v>
      </c>
      <c r="J200" s="14" t="s">
        <v>723</v>
      </c>
      <c r="K200" s="14" t="s">
        <v>724</v>
      </c>
      <c r="L200" s="15"/>
      <c r="M200" s="7" t="str">
        <f t="shared" si="7"/>
        <v>Anthyllis vulneraria subsp. gandogeri</v>
      </c>
    </row>
    <row r="201" spans="1:13" ht="15.6" x14ac:dyDescent="0.3">
      <c r="A201" s="4" t="s">
        <v>1452</v>
      </c>
      <c r="B201" s="44" t="s">
        <v>223</v>
      </c>
      <c r="C201" s="4" t="s">
        <v>224</v>
      </c>
      <c r="D201" s="5" t="s">
        <v>729</v>
      </c>
      <c r="E201" s="5" t="s">
        <v>730</v>
      </c>
      <c r="F201" s="6">
        <v>41804</v>
      </c>
      <c r="G201" s="7" t="s">
        <v>94</v>
      </c>
      <c r="H201" s="1" t="str">
        <f t="shared" si="6"/>
        <v>30TVN287569: Cilleruelo de Bezana. Hayedo de Carrales. 14-6-2014 [JG206]</v>
      </c>
      <c r="I201" s="8" t="s">
        <v>722</v>
      </c>
      <c r="J201" s="8" t="s">
        <v>723</v>
      </c>
      <c r="K201" s="8" t="s">
        <v>724</v>
      </c>
      <c r="L201" s="9"/>
      <c r="M201" s="10" t="str">
        <f t="shared" si="7"/>
        <v>Anthyllis vulneraria subsp. gandogeri</v>
      </c>
    </row>
    <row r="202" spans="1:13" ht="15.6" x14ac:dyDescent="0.3">
      <c r="A202" s="11" t="s">
        <v>1452</v>
      </c>
      <c r="B202" s="44" t="s">
        <v>172</v>
      </c>
      <c r="C202" s="11" t="s">
        <v>173</v>
      </c>
      <c r="D202" s="12" t="s">
        <v>731</v>
      </c>
      <c r="E202" s="12" t="s">
        <v>732</v>
      </c>
      <c r="F202" s="13">
        <v>41798</v>
      </c>
      <c r="G202" s="7" t="s">
        <v>86</v>
      </c>
      <c r="H202" s="1" t="str">
        <f t="shared" si="6"/>
        <v>30TVN365521: Munilla. Quejigar, 944 m. 8-6-2014 [JG380]</v>
      </c>
      <c r="I202" s="14" t="s">
        <v>722</v>
      </c>
      <c r="J202" s="14" t="s">
        <v>723</v>
      </c>
      <c r="K202" s="14" t="s">
        <v>724</v>
      </c>
      <c r="L202" s="15"/>
      <c r="M202" s="7" t="str">
        <f t="shared" si="7"/>
        <v>Anthyllis vulneraria subsp. gandogeri</v>
      </c>
    </row>
    <row r="203" spans="1:13" ht="15.6" x14ac:dyDescent="0.3">
      <c r="A203" s="11" t="s">
        <v>1453</v>
      </c>
      <c r="B203" s="44" t="s">
        <v>63</v>
      </c>
      <c r="C203" s="11" t="s">
        <v>64</v>
      </c>
      <c r="D203" s="17" t="s">
        <v>733</v>
      </c>
      <c r="E203" s="12" t="s">
        <v>734</v>
      </c>
      <c r="F203" s="13">
        <v>41805</v>
      </c>
      <c r="G203" s="7" t="s">
        <v>66</v>
      </c>
      <c r="H203" s="1" t="str">
        <f t="shared" si="6"/>
        <v>30TVN408533: Cubillos del Rojo. Encinar, 901 m. 15-6-2014 [JG103]</v>
      </c>
      <c r="I203" s="19" t="s">
        <v>722</v>
      </c>
      <c r="J203" s="14" t="s">
        <v>735</v>
      </c>
      <c r="K203" s="14" t="s">
        <v>736</v>
      </c>
      <c r="L203" s="16"/>
      <c r="M203" s="7" t="str">
        <f t="shared" si="7"/>
        <v>Argyrolobium zanonii subsp. zanonii</v>
      </c>
    </row>
    <row r="204" spans="1:13" ht="15.6" x14ac:dyDescent="0.3">
      <c r="A204" s="11" t="s">
        <v>1453</v>
      </c>
      <c r="B204" s="44" t="s">
        <v>68</v>
      </c>
      <c r="C204" s="11" t="s">
        <v>69</v>
      </c>
      <c r="D204" s="12" t="s">
        <v>737</v>
      </c>
      <c r="E204" s="12" t="s">
        <v>738</v>
      </c>
      <c r="F204" s="13">
        <v>41794</v>
      </c>
      <c r="G204" s="7" t="s">
        <v>71</v>
      </c>
      <c r="H204" s="1" t="str">
        <f t="shared" si="6"/>
        <v>30TVN373545: Hoz de Arreba. Encinar, 829 m. 4-6-2014 [JG126]</v>
      </c>
      <c r="I204" s="14" t="s">
        <v>722</v>
      </c>
      <c r="J204" s="14" t="s">
        <v>735</v>
      </c>
      <c r="K204" s="14" t="s">
        <v>736</v>
      </c>
      <c r="L204" s="16"/>
      <c r="M204" s="7" t="str">
        <f t="shared" si="7"/>
        <v>Argyrolobium zanonii subsp. zanonii</v>
      </c>
    </row>
    <row r="205" spans="1:13" ht="15.6" x14ac:dyDescent="0.3">
      <c r="A205" s="11" t="s">
        <v>1453</v>
      </c>
      <c r="B205" s="44" t="s">
        <v>267</v>
      </c>
      <c r="C205" s="11" t="s">
        <v>268</v>
      </c>
      <c r="D205" s="12" t="s">
        <v>739</v>
      </c>
      <c r="E205" s="12" t="s">
        <v>740</v>
      </c>
      <c r="F205" s="13">
        <v>41796</v>
      </c>
      <c r="G205" s="7" t="s">
        <v>144</v>
      </c>
      <c r="H205" s="1" t="str">
        <f t="shared" si="6"/>
        <v>30TVN367537: Hoz de Arreba. Quejigar, 732 m. 6-6-2014 [JG160]</v>
      </c>
      <c r="I205" s="14" t="s">
        <v>722</v>
      </c>
      <c r="J205" s="14" t="s">
        <v>735</v>
      </c>
      <c r="K205" s="14" t="s">
        <v>736</v>
      </c>
      <c r="L205" s="15"/>
      <c r="M205" s="7" t="str">
        <f t="shared" si="7"/>
        <v>Argyrolobium zanonii subsp. zanonii</v>
      </c>
    </row>
    <row r="206" spans="1:13" ht="15.6" x14ac:dyDescent="0.3">
      <c r="A206" s="11" t="s">
        <v>1453</v>
      </c>
      <c r="B206" s="44" t="s">
        <v>345</v>
      </c>
      <c r="C206" s="11" t="s">
        <v>346</v>
      </c>
      <c r="D206" s="11" t="s">
        <v>741</v>
      </c>
      <c r="E206" s="12" t="s">
        <v>742</v>
      </c>
      <c r="F206" s="13">
        <v>41807</v>
      </c>
      <c r="G206" s="7" t="s">
        <v>190</v>
      </c>
      <c r="H206" s="1" t="str">
        <f t="shared" si="6"/>
        <v>30TVN369513: Munilla. Melojar, 805 m. 17-6-2014 [JG339]</v>
      </c>
      <c r="I206" s="19" t="s">
        <v>722</v>
      </c>
      <c r="J206" s="14" t="s">
        <v>735</v>
      </c>
      <c r="K206" s="14" t="s">
        <v>736</v>
      </c>
      <c r="L206" s="15"/>
      <c r="M206" s="7" t="str">
        <f t="shared" si="7"/>
        <v>Argyrolobium zanonii subsp. zanonii</v>
      </c>
    </row>
    <row r="207" spans="1:13" ht="15.6" x14ac:dyDescent="0.3">
      <c r="A207" s="11" t="s">
        <v>1454</v>
      </c>
      <c r="B207" s="44" t="s">
        <v>63</v>
      </c>
      <c r="C207" s="11" t="s">
        <v>64</v>
      </c>
      <c r="D207" s="11" t="s">
        <v>743</v>
      </c>
      <c r="E207" s="12" t="s">
        <v>744</v>
      </c>
      <c r="F207" s="13">
        <v>41805</v>
      </c>
      <c r="G207" s="7" t="s">
        <v>66</v>
      </c>
      <c r="H207" s="1" t="str">
        <f t="shared" si="6"/>
        <v>30TVN408533: Cubillos del Rojo. Encinar, 901 m. 15-6-2014 [JG104]</v>
      </c>
      <c r="I207" s="14" t="s">
        <v>722</v>
      </c>
      <c r="J207" s="14" t="s">
        <v>745</v>
      </c>
      <c r="K207" s="14" t="s">
        <v>746</v>
      </c>
      <c r="L207" s="15" t="s">
        <v>747</v>
      </c>
      <c r="M207" s="7" t="str">
        <f t="shared" si="7"/>
        <v>Bituminaria bituminosa</v>
      </c>
    </row>
    <row r="208" spans="1:13" ht="15.6" x14ac:dyDescent="0.3">
      <c r="A208" s="4" t="s">
        <v>1455</v>
      </c>
      <c r="B208" s="44" t="s">
        <v>29</v>
      </c>
      <c r="C208" s="5" t="s">
        <v>30</v>
      </c>
      <c r="D208" s="5" t="s">
        <v>748</v>
      </c>
      <c r="E208" s="5" t="s">
        <v>749</v>
      </c>
      <c r="F208" s="6">
        <v>41806</v>
      </c>
      <c r="G208" s="7" t="s">
        <v>32</v>
      </c>
      <c r="H208" s="1" t="str">
        <f t="shared" si="6"/>
        <v>30TVN369591: Argomedo. Melojar, 900 m. 16-6-2014 [JG015]</v>
      </c>
      <c r="I208" s="8" t="s">
        <v>722</v>
      </c>
      <c r="J208" s="8" t="s">
        <v>750</v>
      </c>
      <c r="K208" s="8" t="s">
        <v>751</v>
      </c>
      <c r="L208" s="22"/>
      <c r="M208" s="10" t="str">
        <f t="shared" si="7"/>
        <v>Chamaespartium sagittale</v>
      </c>
    </row>
    <row r="209" spans="1:13" ht="15.6" x14ac:dyDescent="0.3">
      <c r="A209" s="11" t="s">
        <v>1456</v>
      </c>
      <c r="B209" s="44" t="s">
        <v>68</v>
      </c>
      <c r="C209" s="11" t="s">
        <v>69</v>
      </c>
      <c r="D209" s="12" t="s">
        <v>752</v>
      </c>
      <c r="E209" s="12" t="s">
        <v>753</v>
      </c>
      <c r="F209" s="13">
        <v>41783</v>
      </c>
      <c r="G209" s="7" t="s">
        <v>121</v>
      </c>
      <c r="H209" s="1" t="str">
        <f t="shared" si="6"/>
        <v>30TVN373545: Hoz de Arreba. Encinar, 829 m. 24-5-2014 [JG127]</v>
      </c>
      <c r="I209" s="14" t="s">
        <v>722</v>
      </c>
      <c r="J209" s="14" t="s">
        <v>754</v>
      </c>
      <c r="K209" s="14" t="s">
        <v>755</v>
      </c>
      <c r="L209" s="15"/>
      <c r="M209" s="7" t="str">
        <f t="shared" si="7"/>
        <v>Coronilla minima subsp. lotoides</v>
      </c>
    </row>
    <row r="210" spans="1:13" ht="15.6" x14ac:dyDescent="0.3">
      <c r="A210" s="11" t="s">
        <v>1457</v>
      </c>
      <c r="B210" s="44" t="s">
        <v>55</v>
      </c>
      <c r="C210" s="11" t="s">
        <v>56</v>
      </c>
      <c r="D210" s="12" t="s">
        <v>756</v>
      </c>
      <c r="E210" s="12" t="s">
        <v>757</v>
      </c>
      <c r="F210" s="13">
        <v>41795</v>
      </c>
      <c r="G210" s="7" t="s">
        <v>58</v>
      </c>
      <c r="H210" s="1" t="str">
        <f t="shared" si="6"/>
        <v>30TVN364557: Torres de Abajo. Encinar, 855 m. 5-6-2014 [JG050]</v>
      </c>
      <c r="I210" s="14" t="s">
        <v>722</v>
      </c>
      <c r="J210" s="14" t="s">
        <v>754</v>
      </c>
      <c r="K210" s="14" t="s">
        <v>758</v>
      </c>
      <c r="L210" s="15"/>
      <c r="M210" s="7" t="str">
        <f t="shared" si="7"/>
        <v>Coronilla minima subsp. minima</v>
      </c>
    </row>
    <row r="211" spans="1:13" ht="15.6" x14ac:dyDescent="0.3">
      <c r="A211" s="11" t="s">
        <v>1457</v>
      </c>
      <c r="B211" s="44" t="s">
        <v>83</v>
      </c>
      <c r="C211" s="11" t="s">
        <v>84</v>
      </c>
      <c r="D211" s="17" t="s">
        <v>759</v>
      </c>
      <c r="E211" s="12" t="s">
        <v>760</v>
      </c>
      <c r="F211" s="13">
        <v>41798</v>
      </c>
      <c r="G211" s="7" t="s">
        <v>86</v>
      </c>
      <c r="H211" s="1" t="str">
        <f t="shared" si="6"/>
        <v>30TVN350545: Torres de Abajo. Encinar, 929 m. 8-6-2014 [JG066]</v>
      </c>
      <c r="I211" s="14" t="s">
        <v>722</v>
      </c>
      <c r="J211" s="14" t="s">
        <v>754</v>
      </c>
      <c r="K211" s="14" t="s">
        <v>758</v>
      </c>
      <c r="L211" s="15"/>
      <c r="M211" s="7" t="str">
        <f t="shared" si="7"/>
        <v>Coronilla minima subsp. minima</v>
      </c>
    </row>
    <row r="212" spans="1:13" ht="15.6" x14ac:dyDescent="0.3">
      <c r="A212" s="11" t="s">
        <v>1457</v>
      </c>
      <c r="B212" s="44" t="s">
        <v>63</v>
      </c>
      <c r="C212" s="11" t="s">
        <v>64</v>
      </c>
      <c r="D212" s="17" t="s">
        <v>761</v>
      </c>
      <c r="E212" s="12" t="s">
        <v>762</v>
      </c>
      <c r="F212" s="13">
        <v>41805</v>
      </c>
      <c r="G212" s="7" t="s">
        <v>66</v>
      </c>
      <c r="H212" s="1" t="str">
        <f t="shared" si="6"/>
        <v>30TVN408533: Cubillos del Rojo. Encinar, 901 m. 15-6-2014 [JG105]</v>
      </c>
      <c r="I212" s="19" t="s">
        <v>722</v>
      </c>
      <c r="J212" s="14" t="s">
        <v>754</v>
      </c>
      <c r="K212" s="14" t="s">
        <v>758</v>
      </c>
      <c r="L212" s="16"/>
      <c r="M212" s="7" t="str">
        <f t="shared" si="7"/>
        <v>Coronilla minima subsp. minima</v>
      </c>
    </row>
    <row r="213" spans="1:13" ht="15.6" x14ac:dyDescent="0.3">
      <c r="A213" s="11" t="s">
        <v>1457</v>
      </c>
      <c r="B213" s="44" t="s">
        <v>148</v>
      </c>
      <c r="C213" s="11" t="s">
        <v>149</v>
      </c>
      <c r="D213" s="12" t="s">
        <v>763</v>
      </c>
      <c r="E213" s="12" t="s">
        <v>764</v>
      </c>
      <c r="F213" s="13">
        <v>41799</v>
      </c>
      <c r="G213" s="7" t="s">
        <v>24</v>
      </c>
      <c r="H213" s="1" t="str">
        <f t="shared" si="6"/>
        <v>30TVN371543: Hoz de Arreba. Quejigar, 839 m. 9-6-2014 [JG145]</v>
      </c>
      <c r="I213" s="14" t="s">
        <v>722</v>
      </c>
      <c r="J213" s="14" t="s">
        <v>754</v>
      </c>
      <c r="K213" s="14" t="s">
        <v>758</v>
      </c>
      <c r="L213" s="16"/>
      <c r="M213" s="7" t="str">
        <f t="shared" si="7"/>
        <v>Coronilla minima subsp. minima</v>
      </c>
    </row>
    <row r="214" spans="1:13" ht="15.6" x14ac:dyDescent="0.3">
      <c r="A214" s="11" t="s">
        <v>1457</v>
      </c>
      <c r="B214" s="44" t="s">
        <v>267</v>
      </c>
      <c r="C214" s="11" t="s">
        <v>268</v>
      </c>
      <c r="D214" s="12" t="s">
        <v>765</v>
      </c>
      <c r="E214" s="12" t="s">
        <v>766</v>
      </c>
      <c r="F214" s="13">
        <v>41796</v>
      </c>
      <c r="G214" s="7" t="s">
        <v>144</v>
      </c>
      <c r="H214" s="1" t="str">
        <f t="shared" si="6"/>
        <v>30TVN367537: Hoz de Arreba. Quejigar, 732 m. 6-6-2014 [JG161]</v>
      </c>
      <c r="I214" s="14" t="s">
        <v>722</v>
      </c>
      <c r="J214" s="14" t="s">
        <v>754</v>
      </c>
      <c r="K214" s="14" t="s">
        <v>758</v>
      </c>
      <c r="L214" s="15"/>
      <c r="M214" s="7" t="str">
        <f t="shared" si="7"/>
        <v>Coronilla minima subsp. minima</v>
      </c>
    </row>
    <row r="215" spans="1:13" ht="15.6" x14ac:dyDescent="0.3">
      <c r="A215" s="11" t="s">
        <v>1457</v>
      </c>
      <c r="B215" s="44" t="s">
        <v>301</v>
      </c>
      <c r="C215" s="11" t="s">
        <v>302</v>
      </c>
      <c r="D215" s="17" t="s">
        <v>767</v>
      </c>
      <c r="E215" s="12" t="s">
        <v>768</v>
      </c>
      <c r="F215" s="13">
        <v>41798</v>
      </c>
      <c r="G215" s="7" t="s">
        <v>86</v>
      </c>
      <c r="H215" s="1" t="str">
        <f t="shared" si="6"/>
        <v>30TVN365530: Hoz de Arreba. Encinar, 883 m. 8-6-2014 [JG177]</v>
      </c>
      <c r="I215" s="19" t="s">
        <v>722</v>
      </c>
      <c r="J215" s="14" t="s">
        <v>754</v>
      </c>
      <c r="K215" s="14" t="s">
        <v>758</v>
      </c>
      <c r="L215" s="15"/>
      <c r="M215" s="7" t="str">
        <f t="shared" si="7"/>
        <v>Coronilla minima subsp. minima</v>
      </c>
    </row>
    <row r="216" spans="1:13" ht="15.6" x14ac:dyDescent="0.3">
      <c r="A216" s="4" t="s">
        <v>1458</v>
      </c>
      <c r="B216" s="44" t="s">
        <v>223</v>
      </c>
      <c r="C216" s="4" t="s">
        <v>224</v>
      </c>
      <c r="D216" s="5" t="s">
        <v>769</v>
      </c>
      <c r="E216" s="5" t="s">
        <v>770</v>
      </c>
      <c r="F216" s="6">
        <v>41804</v>
      </c>
      <c r="G216" s="7" t="s">
        <v>94</v>
      </c>
      <c r="H216" s="1" t="str">
        <f t="shared" si="6"/>
        <v>30TVN287569: Cilleruelo de Bezana. Hayedo de Carrales. 14-6-2014 [JG207]</v>
      </c>
      <c r="I216" s="8" t="s">
        <v>722</v>
      </c>
      <c r="J216" s="8" t="s">
        <v>771</v>
      </c>
      <c r="K216" s="8" t="s">
        <v>772</v>
      </c>
      <c r="L216" s="9"/>
      <c r="M216" s="10" t="str">
        <f t="shared" si="7"/>
        <v>Cytisus cantabricus</v>
      </c>
    </row>
    <row r="217" spans="1:13" ht="15.6" x14ac:dyDescent="0.3">
      <c r="A217" s="11" t="s">
        <v>1458</v>
      </c>
      <c r="B217" s="44" t="s">
        <v>345</v>
      </c>
      <c r="C217" s="11" t="s">
        <v>346</v>
      </c>
      <c r="D217" s="11" t="s">
        <v>773</v>
      </c>
      <c r="E217" s="12" t="s">
        <v>774</v>
      </c>
      <c r="F217" s="13">
        <v>41807</v>
      </c>
      <c r="G217" s="7" t="s">
        <v>190</v>
      </c>
      <c r="H217" s="1" t="str">
        <f t="shared" si="6"/>
        <v>30TVN369513: Munilla. Melojar, 805 m. 17-6-2014 [JG340]</v>
      </c>
      <c r="I217" s="14" t="s">
        <v>722</v>
      </c>
      <c r="J217" s="14" t="s">
        <v>771</v>
      </c>
      <c r="K217" s="14" t="s">
        <v>772</v>
      </c>
      <c r="L217" s="15"/>
      <c r="M217" s="7" t="str">
        <f t="shared" si="7"/>
        <v>Cytisus cantabricus</v>
      </c>
    </row>
    <row r="218" spans="1:13" ht="15.6" x14ac:dyDescent="0.3">
      <c r="A218" s="11" t="s">
        <v>1458</v>
      </c>
      <c r="B218" s="44" t="s">
        <v>200</v>
      </c>
      <c r="C218" s="11" t="s">
        <v>201</v>
      </c>
      <c r="D218" s="11" t="s">
        <v>775</v>
      </c>
      <c r="E218" s="12" t="s">
        <v>776</v>
      </c>
      <c r="F218" s="13">
        <v>41800</v>
      </c>
      <c r="G218" s="7" t="s">
        <v>198</v>
      </c>
      <c r="H218" s="1" t="str">
        <f t="shared" si="6"/>
        <v>30TVN315593: Cilleruelo de Bezana. Carballeda, 910 m. 10-6-2014 [JG421]</v>
      </c>
      <c r="I218" s="14" t="s">
        <v>722</v>
      </c>
      <c r="J218" s="14" t="s">
        <v>771</v>
      </c>
      <c r="K218" s="14" t="s">
        <v>772</v>
      </c>
      <c r="L218" s="15"/>
      <c r="M218" s="7" t="str">
        <f t="shared" si="7"/>
        <v>Cytisus cantabricus</v>
      </c>
    </row>
    <row r="219" spans="1:13" ht="15.6" x14ac:dyDescent="0.3">
      <c r="A219" s="11" t="s">
        <v>1459</v>
      </c>
      <c r="B219" s="44" t="s">
        <v>154</v>
      </c>
      <c r="C219" s="11" t="s">
        <v>155</v>
      </c>
      <c r="D219" s="12" t="s">
        <v>777</v>
      </c>
      <c r="E219" s="12" t="s">
        <v>778</v>
      </c>
      <c r="F219" s="13">
        <v>41795</v>
      </c>
      <c r="G219" s="7" t="s">
        <v>58</v>
      </c>
      <c r="H219" s="1" t="str">
        <f t="shared" si="6"/>
        <v>30TVN396513: Lándraves. Quejigar, 676 m. 5-6-2014 [JG196]</v>
      </c>
      <c r="I219" s="14" t="s">
        <v>722</v>
      </c>
      <c r="J219" s="14" t="s">
        <v>779</v>
      </c>
      <c r="K219" s="14" t="s">
        <v>780</v>
      </c>
      <c r="L219" s="15"/>
      <c r="M219" s="7" t="str">
        <f t="shared" si="7"/>
        <v>Dorycnium pentaphyllum</v>
      </c>
    </row>
    <row r="220" spans="1:13" ht="15.6" x14ac:dyDescent="0.3">
      <c r="A220" s="4" t="s">
        <v>1460</v>
      </c>
      <c r="B220" s="44" t="s">
        <v>13</v>
      </c>
      <c r="C220" s="5" t="s">
        <v>14</v>
      </c>
      <c r="D220" s="5" t="s">
        <v>781</v>
      </c>
      <c r="E220" s="5" t="s">
        <v>782</v>
      </c>
      <c r="F220" s="6">
        <v>41748</v>
      </c>
      <c r="G220" s="7" t="s">
        <v>16</v>
      </c>
      <c r="H220" s="1" t="str">
        <f t="shared" si="6"/>
        <v>30TVN338557: Torres de Abajo. 860 m. 19-4-2014 [JG002]</v>
      </c>
      <c r="I220" s="8" t="s">
        <v>722</v>
      </c>
      <c r="J220" s="8" t="s">
        <v>783</v>
      </c>
      <c r="K220" s="8" t="s">
        <v>784</v>
      </c>
      <c r="L220" s="9"/>
      <c r="M220" s="10" t="str">
        <f t="shared" si="7"/>
        <v>Genista anglica</v>
      </c>
    </row>
    <row r="221" spans="1:13" ht="15.6" x14ac:dyDescent="0.3">
      <c r="A221" s="4" t="s">
        <v>1461</v>
      </c>
      <c r="B221" s="44" t="s">
        <v>118</v>
      </c>
      <c r="C221" s="4" t="s">
        <v>119</v>
      </c>
      <c r="D221" s="5" t="s">
        <v>785</v>
      </c>
      <c r="E221" s="5" t="s">
        <v>786</v>
      </c>
      <c r="F221" s="6">
        <v>41800</v>
      </c>
      <c r="G221" s="7" t="s">
        <v>198</v>
      </c>
      <c r="H221" s="1" t="str">
        <f t="shared" si="6"/>
        <v>30TVN303593: Cilleruelo de Bezana. Carballeda, 819 m. 10-6-2014 [JG399]</v>
      </c>
      <c r="I221" s="18" t="s">
        <v>722</v>
      </c>
      <c r="J221" s="8" t="s">
        <v>783</v>
      </c>
      <c r="K221" s="8" t="s">
        <v>787</v>
      </c>
      <c r="L221" s="9"/>
      <c r="M221" s="10" t="str">
        <f t="shared" si="7"/>
        <v>Genista florida</v>
      </c>
    </row>
    <row r="222" spans="1:13" ht="15.6" x14ac:dyDescent="0.3">
      <c r="A222" s="4" t="s">
        <v>1462</v>
      </c>
      <c r="B222" s="44" t="s">
        <v>29</v>
      </c>
      <c r="C222" s="5" t="s">
        <v>30</v>
      </c>
      <c r="D222" s="5" t="s">
        <v>788</v>
      </c>
      <c r="E222" s="5" t="s">
        <v>789</v>
      </c>
      <c r="F222" s="6">
        <v>41806</v>
      </c>
      <c r="G222" s="7" t="s">
        <v>32</v>
      </c>
      <c r="H222" s="1" t="str">
        <f t="shared" si="6"/>
        <v>30TVN369591: Argomedo. Melojar, 900 m. 16-6-2014 [JG016]</v>
      </c>
      <c r="I222" s="8" t="s">
        <v>722</v>
      </c>
      <c r="J222" s="8" t="s">
        <v>783</v>
      </c>
      <c r="K222" s="8" t="s">
        <v>790</v>
      </c>
      <c r="L222" s="22"/>
      <c r="M222" s="10" t="str">
        <f t="shared" si="7"/>
        <v>Genista hispanica subsp. occidentalis</v>
      </c>
    </row>
    <row r="223" spans="1:13" ht="15.6" x14ac:dyDescent="0.3">
      <c r="A223" s="11" t="s">
        <v>1462</v>
      </c>
      <c r="B223" s="44" t="s">
        <v>83</v>
      </c>
      <c r="C223" s="11" t="s">
        <v>84</v>
      </c>
      <c r="D223" s="17" t="s">
        <v>791</v>
      </c>
      <c r="E223" s="12" t="s">
        <v>792</v>
      </c>
      <c r="F223" s="13">
        <v>41798</v>
      </c>
      <c r="G223" s="7" t="s">
        <v>86</v>
      </c>
      <c r="H223" s="1" t="str">
        <f t="shared" si="6"/>
        <v>30TVN350545: Torres de Abajo. Encinar, 929 m. 8-6-2014 [JG067]</v>
      </c>
      <c r="I223" s="19" t="s">
        <v>722</v>
      </c>
      <c r="J223" s="14" t="s">
        <v>783</v>
      </c>
      <c r="K223" s="14" t="s">
        <v>790</v>
      </c>
      <c r="L223" s="16"/>
      <c r="M223" s="7" t="str">
        <f t="shared" si="7"/>
        <v>Genista hispanica subsp. occidentalis</v>
      </c>
    </row>
    <row r="224" spans="1:13" ht="15.6" x14ac:dyDescent="0.3">
      <c r="A224" s="11" t="s">
        <v>1462</v>
      </c>
      <c r="B224" s="44" t="s">
        <v>73</v>
      </c>
      <c r="C224" s="11" t="s">
        <v>74</v>
      </c>
      <c r="D224" s="17" t="s">
        <v>793</v>
      </c>
      <c r="E224" s="12" t="s">
        <v>794</v>
      </c>
      <c r="F224" s="13">
        <v>41805</v>
      </c>
      <c r="G224" s="7" t="s">
        <v>66</v>
      </c>
      <c r="H224" s="1" t="str">
        <f t="shared" si="6"/>
        <v>30TVN407532: Cubillos del Rojo. Quejigar, 894 m. 15-6-2014 [JG083]</v>
      </c>
      <c r="I224" s="19" t="s">
        <v>722</v>
      </c>
      <c r="J224" s="14" t="s">
        <v>783</v>
      </c>
      <c r="K224" s="14" t="s">
        <v>790</v>
      </c>
      <c r="L224" s="15"/>
      <c r="M224" s="7" t="str">
        <f t="shared" si="7"/>
        <v>Genista hispanica subsp. occidentalis</v>
      </c>
    </row>
    <row r="225" spans="1:13" ht="15.6" x14ac:dyDescent="0.3">
      <c r="A225" s="11" t="s">
        <v>1462</v>
      </c>
      <c r="B225" s="44" t="s">
        <v>68</v>
      </c>
      <c r="C225" s="11" t="s">
        <v>69</v>
      </c>
      <c r="D225" s="12" t="s">
        <v>795</v>
      </c>
      <c r="E225" s="12" t="s">
        <v>796</v>
      </c>
      <c r="F225" s="13">
        <v>41783</v>
      </c>
      <c r="G225" s="7" t="s">
        <v>121</v>
      </c>
      <c r="H225" s="1" t="str">
        <f t="shared" si="6"/>
        <v>30TVN373545: Hoz de Arreba. Encinar, 829 m. 24-5-2014 [JG128]</v>
      </c>
      <c r="I225" s="14" t="s">
        <v>722</v>
      </c>
      <c r="J225" s="14" t="s">
        <v>783</v>
      </c>
      <c r="K225" s="14" t="s">
        <v>790</v>
      </c>
      <c r="L225" s="16"/>
      <c r="M225" s="7" t="str">
        <f t="shared" si="7"/>
        <v>Genista hispanica subsp. occidentalis</v>
      </c>
    </row>
    <row r="226" spans="1:13" ht="15.6" x14ac:dyDescent="0.3">
      <c r="A226" s="11" t="s">
        <v>1462</v>
      </c>
      <c r="B226" s="44" t="s">
        <v>148</v>
      </c>
      <c r="C226" s="11" t="s">
        <v>149</v>
      </c>
      <c r="D226" s="17" t="s">
        <v>797</v>
      </c>
      <c r="E226" s="12" t="s">
        <v>798</v>
      </c>
      <c r="F226" s="13">
        <v>41799</v>
      </c>
      <c r="G226" s="7" t="s">
        <v>24</v>
      </c>
      <c r="H226" s="1" t="str">
        <f t="shared" si="6"/>
        <v>30TVN371543: Hoz de Arreba. Quejigar, 839 m. 9-6-2014 [JG146]</v>
      </c>
      <c r="I226" s="19" t="s">
        <v>722</v>
      </c>
      <c r="J226" s="19" t="s">
        <v>783</v>
      </c>
      <c r="K226" s="14" t="s">
        <v>790</v>
      </c>
      <c r="L226" s="15"/>
      <c r="M226" s="7" t="str">
        <f t="shared" si="7"/>
        <v>Genista hispanica subsp. occidentalis</v>
      </c>
    </row>
    <row r="227" spans="1:13" ht="15.6" x14ac:dyDescent="0.3">
      <c r="A227" s="11" t="s">
        <v>1462</v>
      </c>
      <c r="B227" s="44" t="s">
        <v>301</v>
      </c>
      <c r="C227" s="11" t="s">
        <v>302</v>
      </c>
      <c r="D227" s="17" t="s">
        <v>799</v>
      </c>
      <c r="E227" s="12" t="s">
        <v>800</v>
      </c>
      <c r="F227" s="13">
        <v>41798</v>
      </c>
      <c r="G227" s="7" t="s">
        <v>86</v>
      </c>
      <c r="H227" s="1" t="str">
        <f t="shared" si="6"/>
        <v>30TVN365530: Hoz de Arreba. Encinar, 883 m. 8-6-2014 [JG178]</v>
      </c>
      <c r="I227" s="19" t="s">
        <v>722</v>
      </c>
      <c r="J227" s="14" t="s">
        <v>783</v>
      </c>
      <c r="K227" s="14" t="s">
        <v>790</v>
      </c>
      <c r="L227" s="15"/>
      <c r="M227" s="7" t="str">
        <f t="shared" si="7"/>
        <v>Genista hispanica subsp. occidentalis</v>
      </c>
    </row>
    <row r="228" spans="1:13" ht="15.6" x14ac:dyDescent="0.3">
      <c r="A228" s="11" t="s">
        <v>1462</v>
      </c>
      <c r="B228" s="44" t="s">
        <v>172</v>
      </c>
      <c r="C228" s="11" t="s">
        <v>173</v>
      </c>
      <c r="D228" s="17" t="s">
        <v>801</v>
      </c>
      <c r="E228" s="12" t="s">
        <v>802</v>
      </c>
      <c r="F228" s="13">
        <v>41798</v>
      </c>
      <c r="G228" s="7" t="s">
        <v>86</v>
      </c>
      <c r="H228" s="1" t="str">
        <f t="shared" si="6"/>
        <v>30TVN365521: Munilla. Quejigar, 944 m. 8-6-2014 [JG381]</v>
      </c>
      <c r="I228" s="14" t="s">
        <v>722</v>
      </c>
      <c r="J228" s="14" t="s">
        <v>783</v>
      </c>
      <c r="K228" s="14" t="s">
        <v>790</v>
      </c>
      <c r="L228" s="15"/>
      <c r="M228" s="7" t="str">
        <f t="shared" si="7"/>
        <v>Genista hispanica subsp. occidentalis</v>
      </c>
    </row>
    <row r="229" spans="1:13" ht="15.6" x14ac:dyDescent="0.3">
      <c r="A229" s="11" t="s">
        <v>1463</v>
      </c>
      <c r="B229" s="44" t="s">
        <v>63</v>
      </c>
      <c r="C229" s="11" t="s">
        <v>64</v>
      </c>
      <c r="D229" s="17" t="s">
        <v>803</v>
      </c>
      <c r="E229" s="12" t="s">
        <v>804</v>
      </c>
      <c r="F229" s="13">
        <v>41805</v>
      </c>
      <c r="G229" s="7" t="s">
        <v>66</v>
      </c>
      <c r="H229" s="1" t="str">
        <f t="shared" si="6"/>
        <v>30TVN408533: Cubillos del Rojo. Encinar, 901 m. 15-6-2014 [JG106]</v>
      </c>
      <c r="I229" s="19" t="s">
        <v>722</v>
      </c>
      <c r="J229" s="14" t="s">
        <v>783</v>
      </c>
      <c r="K229" s="14" t="s">
        <v>805</v>
      </c>
      <c r="L229" s="16"/>
      <c r="M229" s="7" t="str">
        <f t="shared" si="7"/>
        <v>Genista scorpius</v>
      </c>
    </row>
    <row r="230" spans="1:13" ht="15.6" x14ac:dyDescent="0.3">
      <c r="A230" s="11" t="s">
        <v>1463</v>
      </c>
      <c r="B230" s="44" t="s">
        <v>68</v>
      </c>
      <c r="C230" s="11" t="s">
        <v>69</v>
      </c>
      <c r="D230" s="12" t="s">
        <v>806</v>
      </c>
      <c r="E230" s="12" t="s">
        <v>807</v>
      </c>
      <c r="F230" s="13">
        <v>41784</v>
      </c>
      <c r="G230" s="7" t="s">
        <v>213</v>
      </c>
      <c r="H230" s="1" t="str">
        <f t="shared" si="6"/>
        <v>30TVN373545: Hoz de Arreba. Encinar, 829 m. 25-5-2014 [JG129]</v>
      </c>
      <c r="I230" s="14" t="s">
        <v>722</v>
      </c>
      <c r="J230" s="14" t="s">
        <v>783</v>
      </c>
      <c r="K230" s="14" t="s">
        <v>805</v>
      </c>
      <c r="L230" s="15"/>
      <c r="M230" s="7" t="str">
        <f t="shared" si="7"/>
        <v>Genista scorpius</v>
      </c>
    </row>
    <row r="231" spans="1:13" ht="15.6" x14ac:dyDescent="0.3">
      <c r="A231" s="11" t="s">
        <v>1463</v>
      </c>
      <c r="B231" s="44" t="s">
        <v>267</v>
      </c>
      <c r="C231" s="11" t="s">
        <v>268</v>
      </c>
      <c r="D231" s="21" t="s">
        <v>808</v>
      </c>
      <c r="E231" s="12" t="s">
        <v>809</v>
      </c>
      <c r="F231" s="13">
        <v>41796</v>
      </c>
      <c r="G231" s="7" t="s">
        <v>144</v>
      </c>
      <c r="H231" s="1" t="str">
        <f t="shared" si="6"/>
        <v>30TVN367537: Hoz de Arreba. Quejigar, 732 m. 6-6-2014 [JG162]</v>
      </c>
      <c r="I231" s="14" t="s">
        <v>722</v>
      </c>
      <c r="J231" s="14" t="s">
        <v>783</v>
      </c>
      <c r="K231" s="14" t="s">
        <v>805</v>
      </c>
      <c r="L231" s="15"/>
      <c r="M231" s="7" t="str">
        <f t="shared" si="7"/>
        <v>Genista scorpius</v>
      </c>
    </row>
    <row r="232" spans="1:13" ht="15.6" x14ac:dyDescent="0.3">
      <c r="A232" s="11" t="s">
        <v>1463</v>
      </c>
      <c r="B232" s="44" t="s">
        <v>172</v>
      </c>
      <c r="C232" s="11" t="s">
        <v>173</v>
      </c>
      <c r="D232" s="17" t="s">
        <v>810</v>
      </c>
      <c r="E232" s="12" t="s">
        <v>811</v>
      </c>
      <c r="F232" s="13">
        <v>41798</v>
      </c>
      <c r="G232" s="7" t="s">
        <v>86</v>
      </c>
      <c r="H232" s="1" t="str">
        <f t="shared" si="6"/>
        <v>30TVN365521: Munilla. Quejigar, 944 m. 8-6-2014 [JG382]</v>
      </c>
      <c r="I232" s="19" t="s">
        <v>722</v>
      </c>
      <c r="J232" s="14" t="s">
        <v>783</v>
      </c>
      <c r="K232" s="14" t="s">
        <v>805</v>
      </c>
      <c r="L232" s="15"/>
      <c r="M232" s="7" t="str">
        <f t="shared" si="7"/>
        <v>Genista scorpius</v>
      </c>
    </row>
    <row r="233" spans="1:13" ht="15.6" x14ac:dyDescent="0.3">
      <c r="A233" s="11" t="s">
        <v>1464</v>
      </c>
      <c r="B233" s="44" t="s">
        <v>384</v>
      </c>
      <c r="C233" s="11" t="s">
        <v>385</v>
      </c>
      <c r="D233" s="12" t="s">
        <v>812</v>
      </c>
      <c r="E233" s="12" t="s">
        <v>813</v>
      </c>
      <c r="F233" s="13">
        <v>41796</v>
      </c>
      <c r="G233" s="7" t="s">
        <v>144</v>
      </c>
      <c r="H233" s="1" t="str">
        <f t="shared" si="6"/>
        <v>30TVN356517: Munilla. Quejigar, 905 m. 6-6-2014 [JG358]</v>
      </c>
      <c r="I233" s="32" t="s">
        <v>722</v>
      </c>
      <c r="J233" s="19" t="s">
        <v>814</v>
      </c>
      <c r="K233" s="14" t="s">
        <v>815</v>
      </c>
      <c r="L233" s="15"/>
      <c r="M233" s="7" t="str">
        <f t="shared" si="7"/>
        <v>Lathyrus filiformis</v>
      </c>
    </row>
    <row r="234" spans="1:13" ht="15.6" x14ac:dyDescent="0.3">
      <c r="A234" s="11" t="s">
        <v>1465</v>
      </c>
      <c r="B234" s="44" t="s">
        <v>73</v>
      </c>
      <c r="C234" s="11" t="s">
        <v>74</v>
      </c>
      <c r="D234" s="21" t="s">
        <v>816</v>
      </c>
      <c r="E234" s="12" t="s">
        <v>817</v>
      </c>
      <c r="F234" s="13">
        <v>41805</v>
      </c>
      <c r="G234" s="7" t="s">
        <v>66</v>
      </c>
      <c r="H234" s="1" t="str">
        <f t="shared" si="6"/>
        <v>30TVN407532: Cubillos del Rojo. Quejigar, 894 m. 15-6-2014 [JG084]</v>
      </c>
      <c r="I234" s="14" t="s">
        <v>722</v>
      </c>
      <c r="J234" s="14" t="s">
        <v>814</v>
      </c>
      <c r="K234" s="14" t="s">
        <v>818</v>
      </c>
      <c r="L234" s="15"/>
      <c r="M234" s="7" t="str">
        <f t="shared" si="7"/>
        <v>Lathyrus linifolius</v>
      </c>
    </row>
    <row r="235" spans="1:13" ht="15.6" x14ac:dyDescent="0.3">
      <c r="A235" s="4" t="s">
        <v>1466</v>
      </c>
      <c r="B235" s="44" t="s">
        <v>512</v>
      </c>
      <c r="C235" s="4" t="s">
        <v>513</v>
      </c>
      <c r="D235" s="20" t="s">
        <v>819</v>
      </c>
      <c r="E235" s="5" t="s">
        <v>820</v>
      </c>
      <c r="F235" s="6">
        <v>41806</v>
      </c>
      <c r="G235" s="7" t="s">
        <v>32</v>
      </c>
      <c r="H235" s="1" t="str">
        <f t="shared" si="6"/>
        <v>30TVN308588: Cilleruelo de Bezana. Carballeda, 806 m. 16-6-2014 [JG029]</v>
      </c>
      <c r="I235" s="8" t="s">
        <v>722</v>
      </c>
      <c r="J235" s="8" t="s">
        <v>814</v>
      </c>
      <c r="K235" s="8" t="s">
        <v>821</v>
      </c>
      <c r="L235" s="22"/>
      <c r="M235" s="10" t="str">
        <f t="shared" si="7"/>
        <v>Lathyrus niger</v>
      </c>
    </row>
    <row r="236" spans="1:13" ht="15.6" x14ac:dyDescent="0.3">
      <c r="A236" s="11" t="s">
        <v>1466</v>
      </c>
      <c r="B236" s="44" t="s">
        <v>345</v>
      </c>
      <c r="C236" s="11" t="s">
        <v>346</v>
      </c>
      <c r="D236" s="11" t="s">
        <v>822</v>
      </c>
      <c r="E236" s="12" t="s">
        <v>823</v>
      </c>
      <c r="F236" s="13">
        <v>41807</v>
      </c>
      <c r="G236" s="7" t="s">
        <v>190</v>
      </c>
      <c r="H236" s="1" t="str">
        <f t="shared" si="6"/>
        <v>30TVN369513: Munilla. Melojar, 805 m. 17-6-2014 [JG341]</v>
      </c>
      <c r="I236" s="14" t="s">
        <v>722</v>
      </c>
      <c r="J236" s="14" t="s">
        <v>814</v>
      </c>
      <c r="K236" s="14" t="s">
        <v>821</v>
      </c>
      <c r="L236" s="15"/>
      <c r="M236" s="7" t="str">
        <f t="shared" si="7"/>
        <v>Lathyrus niger</v>
      </c>
    </row>
    <row r="237" spans="1:13" ht="15.6" x14ac:dyDescent="0.3">
      <c r="A237" s="11" t="s">
        <v>1467</v>
      </c>
      <c r="B237" s="44" t="s">
        <v>384</v>
      </c>
      <c r="C237" s="11" t="s">
        <v>385</v>
      </c>
      <c r="D237" s="17" t="s">
        <v>824</v>
      </c>
      <c r="E237" s="12" t="s">
        <v>825</v>
      </c>
      <c r="F237" s="13">
        <v>41796</v>
      </c>
      <c r="G237" s="7" t="s">
        <v>144</v>
      </c>
      <c r="H237" s="1" t="str">
        <f t="shared" si="6"/>
        <v>30TVN356517: Munilla. Quejigar, 905 m. 6-6-2014 [JG359]</v>
      </c>
      <c r="I237" s="32" t="s">
        <v>722</v>
      </c>
      <c r="J237" s="19" t="s">
        <v>814</v>
      </c>
      <c r="K237" s="14" t="s">
        <v>311</v>
      </c>
      <c r="L237" s="16"/>
      <c r="M237" s="7" t="str">
        <f t="shared" si="7"/>
        <v>Lathyrus nudicaulis</v>
      </c>
    </row>
    <row r="238" spans="1:13" ht="15.6" x14ac:dyDescent="0.3">
      <c r="A238" s="11" t="s">
        <v>1468</v>
      </c>
      <c r="B238" s="44" t="s">
        <v>187</v>
      </c>
      <c r="C238" s="11" t="s">
        <v>188</v>
      </c>
      <c r="D238" s="12" t="s">
        <v>826</v>
      </c>
      <c r="E238" s="12" t="s">
        <v>827</v>
      </c>
      <c r="F238" s="13">
        <v>41796</v>
      </c>
      <c r="G238" s="7" t="s">
        <v>144</v>
      </c>
      <c r="H238" s="1" t="str">
        <f t="shared" si="6"/>
        <v>30TVN366512: Munilla. Melojar, 764 m. 6-6-2014 [JG320]</v>
      </c>
      <c r="I238" s="19" t="s">
        <v>722</v>
      </c>
      <c r="J238" s="14" t="s">
        <v>814</v>
      </c>
      <c r="K238" s="14" t="s">
        <v>828</v>
      </c>
      <c r="L238" s="15"/>
      <c r="M238" s="7" t="str">
        <f t="shared" si="7"/>
        <v>Lathyrus sphaericus</v>
      </c>
    </row>
    <row r="239" spans="1:13" ht="15.6" x14ac:dyDescent="0.3">
      <c r="A239" s="4" t="s">
        <v>1469</v>
      </c>
      <c r="B239" s="44" t="s">
        <v>118</v>
      </c>
      <c r="C239" s="4" t="s">
        <v>119</v>
      </c>
      <c r="D239" s="20" t="s">
        <v>829</v>
      </c>
      <c r="E239" s="5" t="s">
        <v>830</v>
      </c>
      <c r="F239" s="6">
        <v>41800</v>
      </c>
      <c r="G239" s="7" t="s">
        <v>198</v>
      </c>
      <c r="H239" s="1" t="str">
        <f t="shared" si="6"/>
        <v>30TVN303593: Cilleruelo de Bezana. Carballeda, 819 m. 10-6-2014 [JG400]</v>
      </c>
      <c r="I239" s="18" t="s">
        <v>722</v>
      </c>
      <c r="J239" s="8" t="s">
        <v>831</v>
      </c>
      <c r="K239" s="8" t="s">
        <v>832</v>
      </c>
      <c r="L239" s="22"/>
      <c r="M239" s="10" t="str">
        <f t="shared" si="7"/>
        <v>Lotus corniculatus subsp. carpetanus</v>
      </c>
    </row>
    <row r="240" spans="1:13" ht="15.6" x14ac:dyDescent="0.3">
      <c r="A240" s="4" t="s">
        <v>1470</v>
      </c>
      <c r="B240" s="44" t="s">
        <v>223</v>
      </c>
      <c r="C240" s="4" t="s">
        <v>224</v>
      </c>
      <c r="D240" s="5" t="s">
        <v>833</v>
      </c>
      <c r="E240" s="5" t="s">
        <v>834</v>
      </c>
      <c r="F240" s="6">
        <v>41804</v>
      </c>
      <c r="G240" s="7" t="s">
        <v>94</v>
      </c>
      <c r="H240" s="1" t="str">
        <f t="shared" si="6"/>
        <v>30TVN287569: Cilleruelo de Bezana. Hayedo de Carrales. 14-6-2014 [JG208]</v>
      </c>
      <c r="I240" s="8" t="s">
        <v>722</v>
      </c>
      <c r="J240" s="8" t="s">
        <v>831</v>
      </c>
      <c r="K240" s="8" t="s">
        <v>835</v>
      </c>
      <c r="L240" s="22"/>
      <c r="M240" s="10" t="str">
        <f t="shared" si="7"/>
        <v>Lotus corniculatus subsp. corniculatus</v>
      </c>
    </row>
    <row r="241" spans="1:13" ht="15.6" x14ac:dyDescent="0.3">
      <c r="A241" s="11" t="s">
        <v>1470</v>
      </c>
      <c r="B241" s="44" t="s">
        <v>187</v>
      </c>
      <c r="C241" s="11" t="s">
        <v>188</v>
      </c>
      <c r="D241" s="12" t="s">
        <v>836</v>
      </c>
      <c r="E241" s="12" t="s">
        <v>837</v>
      </c>
      <c r="F241" s="13">
        <v>41807</v>
      </c>
      <c r="G241" s="7" t="s">
        <v>190</v>
      </c>
      <c r="H241" s="1" t="str">
        <f t="shared" si="6"/>
        <v>30TVN366512: Munilla. Melojar, 764 m. 17-6-2014 [JG321]</v>
      </c>
      <c r="I241" s="14" t="s">
        <v>722</v>
      </c>
      <c r="J241" s="14" t="s">
        <v>831</v>
      </c>
      <c r="K241" s="14" t="s">
        <v>835</v>
      </c>
      <c r="L241" s="16"/>
      <c r="M241" s="7" t="str">
        <f t="shared" si="7"/>
        <v>Lotus corniculatus subsp. corniculatus</v>
      </c>
    </row>
    <row r="242" spans="1:13" ht="15.6" x14ac:dyDescent="0.3">
      <c r="A242" s="11" t="s">
        <v>1470</v>
      </c>
      <c r="B242" s="44" t="s">
        <v>384</v>
      </c>
      <c r="C242" s="11" t="s">
        <v>385</v>
      </c>
      <c r="D242" s="12" t="s">
        <v>838</v>
      </c>
      <c r="E242" s="12" t="s">
        <v>839</v>
      </c>
      <c r="F242" s="13">
        <v>41796</v>
      </c>
      <c r="G242" s="7" t="s">
        <v>144</v>
      </c>
      <c r="H242" s="1" t="str">
        <f t="shared" si="6"/>
        <v>30TVN356517: Munilla. Quejigar, 905 m. 6-6-2014 [JG360]</v>
      </c>
      <c r="I242" s="14" t="s">
        <v>722</v>
      </c>
      <c r="J242" s="14" t="s">
        <v>831</v>
      </c>
      <c r="K242" s="14" t="s">
        <v>835</v>
      </c>
      <c r="L242" s="15"/>
      <c r="M242" s="7" t="str">
        <f t="shared" si="7"/>
        <v>Lotus corniculatus subsp. corniculatus</v>
      </c>
    </row>
    <row r="243" spans="1:13" ht="15.6" x14ac:dyDescent="0.3">
      <c r="A243" s="11" t="s">
        <v>1470</v>
      </c>
      <c r="B243" s="44" t="s">
        <v>172</v>
      </c>
      <c r="C243" s="11" t="s">
        <v>173</v>
      </c>
      <c r="D243" s="21" t="s">
        <v>840</v>
      </c>
      <c r="E243" s="12" t="s">
        <v>841</v>
      </c>
      <c r="F243" s="13">
        <v>41798</v>
      </c>
      <c r="G243" s="7" t="s">
        <v>86</v>
      </c>
      <c r="H243" s="1" t="str">
        <f t="shared" si="6"/>
        <v>30TVN365521: Munilla. Quejigar, 944 m. 8-6-2014 [JG383]</v>
      </c>
      <c r="I243" s="19" t="s">
        <v>722</v>
      </c>
      <c r="J243" s="14" t="s">
        <v>831</v>
      </c>
      <c r="K243" s="14" t="s">
        <v>835</v>
      </c>
      <c r="L243" s="15"/>
      <c r="M243" s="7" t="str">
        <f t="shared" si="7"/>
        <v>Lotus corniculatus subsp. corniculatus</v>
      </c>
    </row>
    <row r="244" spans="1:13" ht="15.6" x14ac:dyDescent="0.3">
      <c r="A244" s="4" t="s">
        <v>1471</v>
      </c>
      <c r="B244" s="44" t="s">
        <v>29</v>
      </c>
      <c r="C244" s="5" t="s">
        <v>30</v>
      </c>
      <c r="D244" s="5" t="s">
        <v>842</v>
      </c>
      <c r="E244" s="5" t="s">
        <v>843</v>
      </c>
      <c r="F244" s="6">
        <v>41806</v>
      </c>
      <c r="G244" s="7" t="s">
        <v>32</v>
      </c>
      <c r="H244" s="1" t="str">
        <f t="shared" si="6"/>
        <v>30TVN369591: Argomedo. Melojar, 900 m. 16-6-2014 [JG017]</v>
      </c>
      <c r="I244" s="8" t="s">
        <v>722</v>
      </c>
      <c r="J244" s="8" t="s">
        <v>844</v>
      </c>
      <c r="K244" s="8" t="s">
        <v>845</v>
      </c>
      <c r="L244" s="9"/>
      <c r="M244" s="10" t="str">
        <f t="shared" si="7"/>
        <v>Onobrychis supina</v>
      </c>
    </row>
    <row r="245" spans="1:13" ht="15.6" x14ac:dyDescent="0.3">
      <c r="A245" s="11" t="s">
        <v>1472</v>
      </c>
      <c r="B245" s="44" t="s">
        <v>172</v>
      </c>
      <c r="C245" s="11" t="s">
        <v>173</v>
      </c>
      <c r="D245" s="21" t="s">
        <v>846</v>
      </c>
      <c r="E245" s="12" t="s">
        <v>847</v>
      </c>
      <c r="F245" s="13">
        <v>41798</v>
      </c>
      <c r="G245" s="7" t="s">
        <v>86</v>
      </c>
      <c r="H245" s="1" t="str">
        <f t="shared" si="6"/>
        <v>30TVN365521: Munilla. Quejigar, 944 m. 8-6-2014 [JG384]</v>
      </c>
      <c r="I245" s="19" t="s">
        <v>722</v>
      </c>
      <c r="J245" s="14" t="s">
        <v>848</v>
      </c>
      <c r="K245" s="14" t="s">
        <v>849</v>
      </c>
      <c r="L245" s="15"/>
      <c r="M245" s="7" t="str">
        <f t="shared" si="7"/>
        <v>Ononis pusilla subsp. pusilla</v>
      </c>
    </row>
    <row r="246" spans="1:13" ht="15.6" x14ac:dyDescent="0.3">
      <c r="A246" s="11" t="s">
        <v>1473</v>
      </c>
      <c r="B246" s="44" t="s">
        <v>187</v>
      </c>
      <c r="C246" s="11" t="s">
        <v>188</v>
      </c>
      <c r="D246" s="12" t="s">
        <v>850</v>
      </c>
      <c r="E246" s="12" t="s">
        <v>851</v>
      </c>
      <c r="F246" s="13">
        <v>41796</v>
      </c>
      <c r="G246" s="7" t="s">
        <v>144</v>
      </c>
      <c r="H246" s="1" t="str">
        <f t="shared" si="6"/>
        <v>30TVN366512: Munilla. Melojar, 764 m. 6-6-2014 [JG322]</v>
      </c>
      <c r="I246" s="14" t="s">
        <v>722</v>
      </c>
      <c r="J246" s="14" t="s">
        <v>848</v>
      </c>
      <c r="K246" s="14" t="s">
        <v>852</v>
      </c>
      <c r="L246" s="16"/>
      <c r="M246" s="7" t="str">
        <f t="shared" si="7"/>
        <v>Ononis spinosa subsp. spinosa</v>
      </c>
    </row>
    <row r="247" spans="1:13" ht="15.6" x14ac:dyDescent="0.3">
      <c r="A247" s="4" t="s">
        <v>1474</v>
      </c>
      <c r="B247" s="44" t="s">
        <v>141</v>
      </c>
      <c r="C247" s="5" t="s">
        <v>142</v>
      </c>
      <c r="D247" s="5" t="s">
        <v>853</v>
      </c>
      <c r="E247" s="5" t="s">
        <v>854</v>
      </c>
      <c r="F247" s="6">
        <v>41796</v>
      </c>
      <c r="G247" s="7" t="s">
        <v>144</v>
      </c>
      <c r="H247" s="1" t="str">
        <f t="shared" si="6"/>
        <v>30TVN353517: Munilla. Bosque marcestente mixto de quejigo y melojo, 780 m. 6-6-2014 [JG008]</v>
      </c>
      <c r="I247" s="8" t="s">
        <v>722</v>
      </c>
      <c r="J247" s="8" t="s">
        <v>855</v>
      </c>
      <c r="K247" s="8" t="s">
        <v>856</v>
      </c>
      <c r="L247" s="22"/>
      <c r="M247" s="10" t="str">
        <f t="shared" si="7"/>
        <v>Tetragonolobus maritimus</v>
      </c>
    </row>
    <row r="248" spans="1:13" ht="15.6" x14ac:dyDescent="0.3">
      <c r="A248" s="4" t="s">
        <v>1475</v>
      </c>
      <c r="B248" s="44" t="s">
        <v>29</v>
      </c>
      <c r="C248" s="5" t="s">
        <v>30</v>
      </c>
      <c r="D248" s="20" t="s">
        <v>857</v>
      </c>
      <c r="E248" s="5" t="s">
        <v>858</v>
      </c>
      <c r="F248" s="6">
        <v>41806</v>
      </c>
      <c r="G248" s="7" t="s">
        <v>32</v>
      </c>
      <c r="H248" s="1" t="str">
        <f t="shared" si="6"/>
        <v>30TVN369591: Argomedo. Melojar, 900 m. 16-6-2014 [JG018]</v>
      </c>
      <c r="I248" s="18" t="s">
        <v>722</v>
      </c>
      <c r="J248" s="18" t="s">
        <v>859</v>
      </c>
      <c r="K248" s="8" t="s">
        <v>860</v>
      </c>
      <c r="L248" s="9"/>
      <c r="M248" s="10" t="str">
        <f t="shared" si="7"/>
        <v>Trifolium pratense subsp. pratense</v>
      </c>
    </row>
    <row r="249" spans="1:13" ht="15.6" x14ac:dyDescent="0.3">
      <c r="A249" s="11" t="s">
        <v>1475</v>
      </c>
      <c r="B249" s="44" t="s">
        <v>384</v>
      </c>
      <c r="C249" s="11" t="s">
        <v>385</v>
      </c>
      <c r="D249" s="12" t="s">
        <v>861</v>
      </c>
      <c r="E249" s="12" t="s">
        <v>862</v>
      </c>
      <c r="F249" s="13">
        <v>41796</v>
      </c>
      <c r="G249" s="7" t="s">
        <v>144</v>
      </c>
      <c r="H249" s="1" t="str">
        <f t="shared" si="6"/>
        <v>30TVN356517: Munilla. Quejigar, 905 m. 6-6-2014 [JG361]</v>
      </c>
      <c r="I249" s="14" t="s">
        <v>722</v>
      </c>
      <c r="J249" s="14" t="s">
        <v>859</v>
      </c>
      <c r="K249" s="14" t="s">
        <v>860</v>
      </c>
      <c r="L249" s="15"/>
      <c r="M249" s="7" t="str">
        <f t="shared" si="7"/>
        <v>Trifolium pratense subsp. pratense</v>
      </c>
    </row>
    <row r="250" spans="1:13" ht="15.6" x14ac:dyDescent="0.3">
      <c r="A250" s="11" t="s">
        <v>1475</v>
      </c>
      <c r="B250" s="44" t="s">
        <v>172</v>
      </c>
      <c r="C250" s="11" t="s">
        <v>173</v>
      </c>
      <c r="D250" s="21" t="s">
        <v>863</v>
      </c>
      <c r="E250" s="12" t="s">
        <v>864</v>
      </c>
      <c r="F250" s="13">
        <v>41798</v>
      </c>
      <c r="G250" s="7" t="s">
        <v>86</v>
      </c>
      <c r="H250" s="1" t="str">
        <f t="shared" si="6"/>
        <v>30TVN365521: Munilla. Quejigar, 944 m. 8-6-2014 [JG385]</v>
      </c>
      <c r="I250" s="32" t="s">
        <v>722</v>
      </c>
      <c r="J250" s="14" t="s">
        <v>859</v>
      </c>
      <c r="K250" s="14" t="s">
        <v>860</v>
      </c>
      <c r="L250" s="15"/>
      <c r="M250" s="7" t="str">
        <f t="shared" si="7"/>
        <v>Trifolium pratense subsp. pratense</v>
      </c>
    </row>
    <row r="251" spans="1:13" ht="15.6" x14ac:dyDescent="0.3">
      <c r="A251" s="4" t="s">
        <v>1476</v>
      </c>
      <c r="B251" s="44" t="s">
        <v>29</v>
      </c>
      <c r="C251" s="5" t="s">
        <v>30</v>
      </c>
      <c r="D251" s="20" t="s">
        <v>865</v>
      </c>
      <c r="E251" s="5" t="s">
        <v>866</v>
      </c>
      <c r="F251" s="6">
        <v>41806</v>
      </c>
      <c r="G251" s="7" t="s">
        <v>32</v>
      </c>
      <c r="H251" s="1" t="str">
        <f t="shared" si="6"/>
        <v>30TVN369591: Argomedo. Melojar, 900 m. 16-6-2014 [JG019]</v>
      </c>
      <c r="I251" s="18" t="s">
        <v>722</v>
      </c>
      <c r="J251" s="18" t="s">
        <v>859</v>
      </c>
      <c r="K251" s="8" t="s">
        <v>867</v>
      </c>
      <c r="L251" s="9"/>
      <c r="M251" s="10" t="str">
        <f t="shared" si="7"/>
        <v>Trifolium repens</v>
      </c>
    </row>
    <row r="252" spans="1:13" ht="15.6" x14ac:dyDescent="0.3">
      <c r="A252" s="11" t="s">
        <v>1477</v>
      </c>
      <c r="B252" s="44" t="s">
        <v>187</v>
      </c>
      <c r="C252" s="11" t="s">
        <v>188</v>
      </c>
      <c r="D252" s="12" t="s">
        <v>868</v>
      </c>
      <c r="E252" s="12" t="s">
        <v>869</v>
      </c>
      <c r="F252" s="13">
        <v>41807</v>
      </c>
      <c r="G252" s="7" t="s">
        <v>190</v>
      </c>
      <c r="H252" s="1" t="str">
        <f t="shared" si="6"/>
        <v>30TVN366512: Munilla. Melojar, 764 m. 17-6-2014 [JG323]</v>
      </c>
      <c r="I252" s="14" t="s">
        <v>722</v>
      </c>
      <c r="J252" s="14" t="s">
        <v>870</v>
      </c>
      <c r="K252" s="14" t="s">
        <v>871</v>
      </c>
      <c r="L252" s="15"/>
      <c r="M252" s="7" t="str">
        <f t="shared" si="7"/>
        <v>Ulex gallii subsp. gallii</v>
      </c>
    </row>
    <row r="253" spans="1:13" ht="15.6" x14ac:dyDescent="0.3">
      <c r="A253" s="4" t="s">
        <v>1477</v>
      </c>
      <c r="B253" s="44" t="s">
        <v>118</v>
      </c>
      <c r="C253" s="4" t="s">
        <v>119</v>
      </c>
      <c r="D253" s="5" t="s">
        <v>872</v>
      </c>
      <c r="E253" s="5" t="s">
        <v>873</v>
      </c>
      <c r="F253" s="6">
        <v>41800</v>
      </c>
      <c r="G253" s="7" t="s">
        <v>198</v>
      </c>
      <c r="H253" s="1" t="str">
        <f t="shared" si="6"/>
        <v>30TVN303593: Cilleruelo de Bezana. Carballeda, 819 m. 10-6-2014 [JG401]</v>
      </c>
      <c r="I253" s="8" t="s">
        <v>722</v>
      </c>
      <c r="J253" s="8" t="s">
        <v>870</v>
      </c>
      <c r="K253" s="8" t="s">
        <v>871</v>
      </c>
      <c r="L253" s="9"/>
      <c r="M253" s="10" t="str">
        <f t="shared" si="7"/>
        <v>Ulex gallii subsp. gallii</v>
      </c>
    </row>
    <row r="254" spans="1:13" ht="15.6" x14ac:dyDescent="0.3">
      <c r="A254" s="4" t="s">
        <v>1478</v>
      </c>
      <c r="B254" s="44" t="s">
        <v>29</v>
      </c>
      <c r="C254" s="5" t="s">
        <v>30</v>
      </c>
      <c r="D254" s="5" t="s">
        <v>874</v>
      </c>
      <c r="E254" s="5" t="s">
        <v>875</v>
      </c>
      <c r="F254" s="6">
        <v>41806</v>
      </c>
      <c r="G254" s="7" t="s">
        <v>32</v>
      </c>
      <c r="H254" s="1" t="str">
        <f t="shared" si="6"/>
        <v>30TVN369591: Argomedo. Melojar, 900 m. 16-6-2014 [JG020]</v>
      </c>
      <c r="I254" s="8" t="s">
        <v>722</v>
      </c>
      <c r="J254" s="8" t="s">
        <v>876</v>
      </c>
      <c r="K254" s="8" t="s">
        <v>877</v>
      </c>
      <c r="L254" s="9"/>
      <c r="M254" s="10" t="str">
        <f t="shared" si="7"/>
        <v>Vicia cracca</v>
      </c>
    </row>
    <row r="255" spans="1:13" ht="15.6" x14ac:dyDescent="0.3">
      <c r="A255" s="11" t="s">
        <v>1478</v>
      </c>
      <c r="B255" s="44" t="s">
        <v>83</v>
      </c>
      <c r="C255" s="11" t="s">
        <v>84</v>
      </c>
      <c r="D255" s="12" t="s">
        <v>878</v>
      </c>
      <c r="E255" s="12" t="s">
        <v>879</v>
      </c>
      <c r="F255" s="13">
        <v>41798</v>
      </c>
      <c r="G255" s="7" t="s">
        <v>86</v>
      </c>
      <c r="H255" s="1" t="str">
        <f t="shared" si="6"/>
        <v>30TVN350545: Torres de Abajo. Encinar, 929 m. 8-6-2014 [JG068]</v>
      </c>
      <c r="I255" s="14" t="s">
        <v>722</v>
      </c>
      <c r="J255" s="14" t="s">
        <v>876</v>
      </c>
      <c r="K255" s="14" t="s">
        <v>877</v>
      </c>
      <c r="L255" s="16"/>
      <c r="M255" s="7" t="str">
        <f t="shared" si="7"/>
        <v>Vicia cracca</v>
      </c>
    </row>
    <row r="256" spans="1:13" ht="15.6" x14ac:dyDescent="0.3">
      <c r="A256" s="11" t="s">
        <v>1478</v>
      </c>
      <c r="B256" s="44" t="s">
        <v>73</v>
      </c>
      <c r="C256" s="11" t="s">
        <v>74</v>
      </c>
      <c r="D256" s="21" t="s">
        <v>880</v>
      </c>
      <c r="E256" s="12" t="s">
        <v>881</v>
      </c>
      <c r="F256" s="13">
        <v>41805</v>
      </c>
      <c r="G256" s="7" t="s">
        <v>66</v>
      </c>
      <c r="H256" s="1" t="str">
        <f t="shared" si="6"/>
        <v>30TVN407532: Cubillos del Rojo. Quejigar, 894 m. 15-6-2014 [JG085]</v>
      </c>
      <c r="I256" s="19" t="s">
        <v>722</v>
      </c>
      <c r="J256" s="14" t="s">
        <v>876</v>
      </c>
      <c r="K256" s="35" t="s">
        <v>877</v>
      </c>
      <c r="L256" s="15"/>
      <c r="M256" s="7" t="str">
        <f t="shared" si="7"/>
        <v>Vicia cracca</v>
      </c>
    </row>
    <row r="257" spans="1:13" ht="15.6" x14ac:dyDescent="0.3">
      <c r="A257" s="4" t="s">
        <v>1478</v>
      </c>
      <c r="B257" s="44" t="s">
        <v>223</v>
      </c>
      <c r="C257" s="4" t="s">
        <v>224</v>
      </c>
      <c r="D257" s="5" t="s">
        <v>882</v>
      </c>
      <c r="E257" s="5" t="s">
        <v>883</v>
      </c>
      <c r="F257" s="6">
        <v>41804</v>
      </c>
      <c r="G257" s="7" t="s">
        <v>94</v>
      </c>
      <c r="H257" s="1" t="str">
        <f t="shared" si="6"/>
        <v>30TVN287569: Cilleruelo de Bezana. Hayedo de Carrales. 14-6-2014 [JG209]</v>
      </c>
      <c r="I257" s="8" t="s">
        <v>722</v>
      </c>
      <c r="J257" s="8" t="s">
        <v>876</v>
      </c>
      <c r="K257" s="8" t="s">
        <v>877</v>
      </c>
      <c r="L257" s="22"/>
      <c r="M257" s="10" t="str">
        <f t="shared" si="7"/>
        <v>Vicia cracca</v>
      </c>
    </row>
    <row r="258" spans="1:13" ht="15.6" x14ac:dyDescent="0.3">
      <c r="A258" s="11" t="s">
        <v>1478</v>
      </c>
      <c r="B258" s="44" t="s">
        <v>384</v>
      </c>
      <c r="C258" s="11" t="s">
        <v>385</v>
      </c>
      <c r="D258" s="12" t="s">
        <v>884</v>
      </c>
      <c r="E258" s="12" t="s">
        <v>885</v>
      </c>
      <c r="F258" s="13">
        <v>41796</v>
      </c>
      <c r="G258" s="7" t="s">
        <v>144</v>
      </c>
      <c r="H258" s="1" t="str">
        <f t="shared" ref="H258:H321" si="8">CONCATENATE(B258, ": ", C258, " ", G258, " ", "[", E258, "]")</f>
        <v>30TVN356517: Munilla. Quejigar, 905 m. 6-6-2014 [JG362]</v>
      </c>
      <c r="I258" s="14" t="s">
        <v>722</v>
      </c>
      <c r="J258" s="14" t="s">
        <v>876</v>
      </c>
      <c r="K258" s="14" t="s">
        <v>877</v>
      </c>
      <c r="L258" s="16"/>
      <c r="M258" s="7" t="str">
        <f t="shared" ref="M258:M321" si="9">CONCATENATE(J258," ",K258)</f>
        <v>Vicia cracca</v>
      </c>
    </row>
    <row r="259" spans="1:13" ht="15.6" x14ac:dyDescent="0.3">
      <c r="A259" s="11" t="s">
        <v>1479</v>
      </c>
      <c r="B259" s="44" t="s">
        <v>187</v>
      </c>
      <c r="C259" s="11" t="s">
        <v>188</v>
      </c>
      <c r="D259" s="12" t="s">
        <v>886</v>
      </c>
      <c r="E259" s="12" t="s">
        <v>887</v>
      </c>
      <c r="F259" s="13">
        <v>41796</v>
      </c>
      <c r="G259" s="7" t="s">
        <v>144</v>
      </c>
      <c r="H259" s="1" t="str">
        <f t="shared" si="8"/>
        <v>30TVN366512: Munilla. Melojar, 764 m. 6-6-2014 [JG324]</v>
      </c>
      <c r="I259" s="19" t="s">
        <v>722</v>
      </c>
      <c r="J259" s="14" t="s">
        <v>876</v>
      </c>
      <c r="K259" s="14" t="s">
        <v>888</v>
      </c>
      <c r="L259" s="15"/>
      <c r="M259" s="7" t="str">
        <f t="shared" si="9"/>
        <v>Vicia lutea subsp. lutea</v>
      </c>
    </row>
    <row r="260" spans="1:13" ht="15.6" x14ac:dyDescent="0.3">
      <c r="A260" s="11" t="s">
        <v>1480</v>
      </c>
      <c r="B260" s="44" t="s">
        <v>187</v>
      </c>
      <c r="C260" s="11" t="s">
        <v>188</v>
      </c>
      <c r="D260" s="12" t="s">
        <v>889</v>
      </c>
      <c r="E260" s="12" t="s">
        <v>890</v>
      </c>
      <c r="F260" s="13">
        <v>41807</v>
      </c>
      <c r="G260" s="7" t="s">
        <v>190</v>
      </c>
      <c r="H260" s="1" t="str">
        <f t="shared" si="8"/>
        <v>30TVN366512: Munilla. Melojar, 764 m. 17-6-2014 [JG325]</v>
      </c>
      <c r="I260" s="14" t="s">
        <v>722</v>
      </c>
      <c r="J260" s="14" t="s">
        <v>876</v>
      </c>
      <c r="K260" s="14" t="s">
        <v>891</v>
      </c>
      <c r="L260" s="16"/>
      <c r="M260" s="7" t="str">
        <f t="shared" si="9"/>
        <v>Vicia sativa subsp. sativa</v>
      </c>
    </row>
    <row r="261" spans="1:13" ht="15.6" x14ac:dyDescent="0.3">
      <c r="A261" s="4" t="s">
        <v>1480</v>
      </c>
      <c r="B261" s="44" t="s">
        <v>118</v>
      </c>
      <c r="C261" s="4" t="s">
        <v>119</v>
      </c>
      <c r="D261" s="5" t="s">
        <v>892</v>
      </c>
      <c r="E261" s="5" t="s">
        <v>893</v>
      </c>
      <c r="F261" s="6">
        <v>41800</v>
      </c>
      <c r="G261" s="7" t="s">
        <v>198</v>
      </c>
      <c r="H261" s="1" t="str">
        <f t="shared" si="8"/>
        <v>30TVN303593: Cilleruelo de Bezana. Carballeda, 819 m. 10-6-2014 [JG402]</v>
      </c>
      <c r="I261" s="8" t="s">
        <v>722</v>
      </c>
      <c r="J261" s="8" t="s">
        <v>876</v>
      </c>
      <c r="K261" s="8" t="s">
        <v>891</v>
      </c>
      <c r="L261" s="22"/>
      <c r="M261" s="10" t="str">
        <f t="shared" si="9"/>
        <v>Vicia sativa subsp. sativa</v>
      </c>
    </row>
    <row r="262" spans="1:13" ht="15.6" x14ac:dyDescent="0.3">
      <c r="A262" s="11" t="s">
        <v>1481</v>
      </c>
      <c r="B262" s="44" t="s">
        <v>35</v>
      </c>
      <c r="C262" s="11" t="s">
        <v>36</v>
      </c>
      <c r="D262" s="12" t="s">
        <v>894</v>
      </c>
      <c r="E262" s="12" t="s">
        <v>895</v>
      </c>
      <c r="F262" s="13">
        <v>41781</v>
      </c>
      <c r="G262" s="7" t="s">
        <v>38</v>
      </c>
      <c r="H262" s="1" t="str">
        <f t="shared" si="8"/>
        <v>30TVN324545: Cilleruelo de Bezana. Hayedo de Carrales, 962 m. 22-5-2014 [JG220]</v>
      </c>
      <c r="I262" s="14" t="s">
        <v>722</v>
      </c>
      <c r="J262" s="14" t="s">
        <v>876</v>
      </c>
      <c r="K262" s="14" t="s">
        <v>896</v>
      </c>
      <c r="L262" s="16"/>
      <c r="M262" s="7" t="str">
        <f t="shared" si="9"/>
        <v>Vicia sepium</v>
      </c>
    </row>
    <row r="263" spans="1:13" ht="15.6" x14ac:dyDescent="0.3">
      <c r="A263" s="11" t="s">
        <v>1481</v>
      </c>
      <c r="B263" s="44" t="s">
        <v>91</v>
      </c>
      <c r="C263" s="11" t="s">
        <v>92</v>
      </c>
      <c r="D263" s="12" t="s">
        <v>897</v>
      </c>
      <c r="E263" s="12" t="s">
        <v>898</v>
      </c>
      <c r="F263" s="13">
        <v>41804</v>
      </c>
      <c r="G263" s="7" t="s">
        <v>94</v>
      </c>
      <c r="H263" s="1" t="str">
        <f t="shared" si="8"/>
        <v>30TVN339539: Cilleruelo de Bezana. Hayedo de Carrales, 986 m. 14-6-2014 [JG241]</v>
      </c>
      <c r="I263" s="14" t="s">
        <v>722</v>
      </c>
      <c r="J263" s="14" t="s">
        <v>876</v>
      </c>
      <c r="K263" s="14" t="s">
        <v>896</v>
      </c>
      <c r="L263" s="16"/>
      <c r="M263" s="7" t="str">
        <f t="shared" si="9"/>
        <v>Vicia sepium</v>
      </c>
    </row>
    <row r="264" spans="1:13" ht="15.6" x14ac:dyDescent="0.3">
      <c r="A264" s="11" t="s">
        <v>1481</v>
      </c>
      <c r="B264" s="44" t="s">
        <v>573</v>
      </c>
      <c r="C264" s="11" t="s">
        <v>574</v>
      </c>
      <c r="D264" s="17" t="s">
        <v>899</v>
      </c>
      <c r="E264" s="12" t="s">
        <v>900</v>
      </c>
      <c r="F264" s="13">
        <v>41804</v>
      </c>
      <c r="G264" s="7" t="s">
        <v>94</v>
      </c>
      <c r="H264" s="1" t="str">
        <f t="shared" si="8"/>
        <v>30TVN332537: Cilleruelo de Bezana. Hayedo de Carrales, 996 m. 14-6-2014 [JG246]</v>
      </c>
      <c r="I264" s="14" t="s">
        <v>722</v>
      </c>
      <c r="J264" s="14" t="s">
        <v>876</v>
      </c>
      <c r="K264" s="14" t="s">
        <v>896</v>
      </c>
      <c r="L264" s="15"/>
      <c r="M264" s="7" t="str">
        <f t="shared" si="9"/>
        <v>Vicia sepium</v>
      </c>
    </row>
    <row r="265" spans="1:13" ht="15.6" x14ac:dyDescent="0.3">
      <c r="A265" s="4" t="s">
        <v>1481</v>
      </c>
      <c r="B265" s="44" t="s">
        <v>21</v>
      </c>
      <c r="C265" s="4" t="s">
        <v>22</v>
      </c>
      <c r="D265" s="5" t="s">
        <v>901</v>
      </c>
      <c r="E265" s="5" t="s">
        <v>902</v>
      </c>
      <c r="F265" s="6">
        <v>41781</v>
      </c>
      <c r="G265" s="7" t="s">
        <v>38</v>
      </c>
      <c r="H265" s="1" t="str">
        <f t="shared" si="8"/>
        <v>30TVN383582: San Cibrián. Hayedo, 750 m. 22-5-2014 [JG276]</v>
      </c>
      <c r="I265" s="8" t="s">
        <v>722</v>
      </c>
      <c r="J265" s="8" t="s">
        <v>876</v>
      </c>
      <c r="K265" s="8" t="s">
        <v>896</v>
      </c>
      <c r="L265" s="10"/>
      <c r="M265" s="10" t="str">
        <f t="shared" si="9"/>
        <v>Vicia sepium</v>
      </c>
    </row>
    <row r="266" spans="1:13" ht="15.6" x14ac:dyDescent="0.3">
      <c r="A266" s="11" t="s">
        <v>1481</v>
      </c>
      <c r="B266" s="44" t="s">
        <v>51</v>
      </c>
      <c r="C266" s="11" t="s">
        <v>52</v>
      </c>
      <c r="D266" s="12" t="s">
        <v>903</v>
      </c>
      <c r="E266" s="12" t="s">
        <v>904</v>
      </c>
      <c r="F266" s="13">
        <v>41799</v>
      </c>
      <c r="G266" s="7" t="s">
        <v>24</v>
      </c>
      <c r="H266" s="1" t="str">
        <f t="shared" si="8"/>
        <v>30TVN391579: San Cibrián. Hayedo, 737 m. 9-6-2014 [JG297]</v>
      </c>
      <c r="I266" s="14" t="s">
        <v>722</v>
      </c>
      <c r="J266" s="14" t="s">
        <v>876</v>
      </c>
      <c r="K266" s="14" t="s">
        <v>896</v>
      </c>
      <c r="L266" s="16"/>
      <c r="M266" s="7" t="str">
        <f t="shared" si="9"/>
        <v>Vicia sepium</v>
      </c>
    </row>
    <row r="267" spans="1:13" ht="15.6" x14ac:dyDescent="0.3">
      <c r="A267" s="11" t="s">
        <v>1482</v>
      </c>
      <c r="B267" s="44" t="s">
        <v>55</v>
      </c>
      <c r="C267" s="11" t="s">
        <v>56</v>
      </c>
      <c r="D267" s="12" t="s">
        <v>905</v>
      </c>
      <c r="E267" s="12" t="s">
        <v>906</v>
      </c>
      <c r="F267" s="13">
        <v>41795</v>
      </c>
      <c r="G267" s="7" t="s">
        <v>58</v>
      </c>
      <c r="H267" s="1" t="str">
        <f t="shared" si="8"/>
        <v>30TVN364557: Torres de Abajo. Encinar, 855 m. 5-6-2014 [JG051]</v>
      </c>
      <c r="I267" s="14" t="s">
        <v>907</v>
      </c>
      <c r="J267" s="14" t="s">
        <v>908</v>
      </c>
      <c r="K267" s="14" t="s">
        <v>909</v>
      </c>
      <c r="L267" s="15"/>
      <c r="M267" s="7" t="str">
        <f t="shared" si="9"/>
        <v>Anthericum liliago subsp. liliago</v>
      </c>
    </row>
    <row r="268" spans="1:13" ht="15.6" x14ac:dyDescent="0.3">
      <c r="A268" s="11" t="s">
        <v>1482</v>
      </c>
      <c r="B268" s="44" t="s">
        <v>63</v>
      </c>
      <c r="C268" s="11" t="s">
        <v>64</v>
      </c>
      <c r="D268" s="11" t="s">
        <v>910</v>
      </c>
      <c r="E268" s="12" t="s">
        <v>911</v>
      </c>
      <c r="F268" s="13">
        <v>41805</v>
      </c>
      <c r="G268" s="7" t="s">
        <v>66</v>
      </c>
      <c r="H268" s="1" t="str">
        <f t="shared" si="8"/>
        <v>30TVN408533: Cubillos del Rojo. Encinar, 901 m. 15-6-2014 [JG107]</v>
      </c>
      <c r="I268" s="14" t="s">
        <v>907</v>
      </c>
      <c r="J268" s="14" t="s">
        <v>908</v>
      </c>
      <c r="K268" s="14" t="s">
        <v>909</v>
      </c>
      <c r="L268" s="15"/>
      <c r="M268" s="7" t="str">
        <f t="shared" si="9"/>
        <v>Anthericum liliago subsp. liliago</v>
      </c>
    </row>
    <row r="269" spans="1:13" ht="15.6" x14ac:dyDescent="0.3">
      <c r="A269" s="11" t="s">
        <v>1482</v>
      </c>
      <c r="B269" s="44" t="s">
        <v>301</v>
      </c>
      <c r="C269" s="11" t="s">
        <v>302</v>
      </c>
      <c r="D269" s="12" t="s">
        <v>912</v>
      </c>
      <c r="E269" s="12" t="s">
        <v>913</v>
      </c>
      <c r="F269" s="13">
        <v>41798</v>
      </c>
      <c r="G269" s="7" t="s">
        <v>86</v>
      </c>
      <c r="H269" s="1" t="str">
        <f t="shared" si="8"/>
        <v>30TVN365530: Hoz de Arreba. Encinar, 883 m. 8-6-2014 [JG179]</v>
      </c>
      <c r="I269" s="14" t="s">
        <v>907</v>
      </c>
      <c r="J269" s="14" t="s">
        <v>908</v>
      </c>
      <c r="K269" s="14" t="s">
        <v>909</v>
      </c>
      <c r="L269" s="15"/>
      <c r="M269" s="7" t="str">
        <f t="shared" si="9"/>
        <v>Anthericum liliago subsp. liliago</v>
      </c>
    </row>
    <row r="270" spans="1:13" ht="15.6" x14ac:dyDescent="0.3">
      <c r="A270" s="11" t="s">
        <v>1483</v>
      </c>
      <c r="B270" s="44" t="s">
        <v>68</v>
      </c>
      <c r="C270" s="11" t="s">
        <v>69</v>
      </c>
      <c r="D270" s="12" t="s">
        <v>914</v>
      </c>
      <c r="E270" s="12" t="s">
        <v>915</v>
      </c>
      <c r="F270" s="13">
        <v>41794</v>
      </c>
      <c r="G270" s="7" t="s">
        <v>71</v>
      </c>
      <c r="H270" s="1" t="str">
        <f t="shared" si="8"/>
        <v>30TVN373545: Hoz de Arreba. Encinar, 829 m. 4-6-2014 [JG130]</v>
      </c>
      <c r="I270" s="14" t="s">
        <v>907</v>
      </c>
      <c r="J270" s="14" t="s">
        <v>916</v>
      </c>
      <c r="K270" s="14" t="s">
        <v>917</v>
      </c>
      <c r="L270" s="15"/>
      <c r="M270" s="7" t="str">
        <f t="shared" si="9"/>
        <v>Aphyllanthes monspeliensis</v>
      </c>
    </row>
    <row r="271" spans="1:13" ht="15.6" x14ac:dyDescent="0.3">
      <c r="A271" s="11" t="s">
        <v>1483</v>
      </c>
      <c r="B271" s="44" t="s">
        <v>148</v>
      </c>
      <c r="C271" s="11" t="s">
        <v>149</v>
      </c>
      <c r="D271" s="12" t="s">
        <v>918</v>
      </c>
      <c r="E271" s="12" t="s">
        <v>919</v>
      </c>
      <c r="F271" s="13">
        <v>41799</v>
      </c>
      <c r="G271" s="7" t="s">
        <v>24</v>
      </c>
      <c r="H271" s="1" t="str">
        <f t="shared" si="8"/>
        <v>30TVN371543: Hoz de Arreba. Quejigar, 839 m. 9-6-2014 [JG147]</v>
      </c>
      <c r="I271" s="14" t="s">
        <v>907</v>
      </c>
      <c r="J271" s="14" t="s">
        <v>916</v>
      </c>
      <c r="K271" s="14" t="s">
        <v>917</v>
      </c>
      <c r="L271" s="15"/>
      <c r="M271" s="7" t="str">
        <f t="shared" si="9"/>
        <v>Aphyllanthes monspeliensis</v>
      </c>
    </row>
    <row r="272" spans="1:13" ht="15.6" x14ac:dyDescent="0.3">
      <c r="A272" s="11" t="s">
        <v>1484</v>
      </c>
      <c r="B272" s="44" t="s">
        <v>384</v>
      </c>
      <c r="C272" s="11" t="s">
        <v>385</v>
      </c>
      <c r="D272" s="12" t="s">
        <v>920</v>
      </c>
      <c r="E272" s="12" t="s">
        <v>921</v>
      </c>
      <c r="F272" s="13">
        <v>41796</v>
      </c>
      <c r="G272" s="7" t="s">
        <v>144</v>
      </c>
      <c r="H272" s="1" t="str">
        <f t="shared" si="8"/>
        <v>30TVN356517: Munilla. Quejigar, 905 m. 6-6-2014 [JG363]</v>
      </c>
      <c r="I272" s="14" t="s">
        <v>907</v>
      </c>
      <c r="J272" s="14" t="s">
        <v>922</v>
      </c>
      <c r="K272" s="14" t="s">
        <v>923</v>
      </c>
      <c r="L272" s="15"/>
      <c r="M272" s="7" t="str">
        <f t="shared" si="9"/>
        <v>Asphodelus albus subsp. albus</v>
      </c>
    </row>
    <row r="273" spans="1:13" ht="15.6" x14ac:dyDescent="0.3">
      <c r="A273" s="11" t="s">
        <v>1485</v>
      </c>
      <c r="B273" s="44" t="s">
        <v>43</v>
      </c>
      <c r="C273" s="11" t="s">
        <v>44</v>
      </c>
      <c r="D273" s="12" t="s">
        <v>924</v>
      </c>
      <c r="E273" s="12" t="s">
        <v>925</v>
      </c>
      <c r="F273" s="13">
        <v>41792</v>
      </c>
      <c r="G273" s="7" t="s">
        <v>46</v>
      </c>
      <c r="H273" s="1" t="str">
        <f t="shared" si="8"/>
        <v>30TVN387579: San Cibrián. Hayedo, 756 m. 2-6-2014 [JG292]</v>
      </c>
      <c r="I273" s="14" t="s">
        <v>907</v>
      </c>
      <c r="J273" s="14" t="s">
        <v>926</v>
      </c>
      <c r="K273" s="14" t="s">
        <v>927</v>
      </c>
      <c r="L273" s="15"/>
      <c r="M273" s="7" t="str">
        <f t="shared" si="9"/>
        <v>Lilium martagon</v>
      </c>
    </row>
    <row r="274" spans="1:13" ht="15.6" x14ac:dyDescent="0.3">
      <c r="A274" s="11" t="s">
        <v>1486</v>
      </c>
      <c r="B274" s="44" t="s">
        <v>55</v>
      </c>
      <c r="C274" s="11" t="s">
        <v>56</v>
      </c>
      <c r="D274" s="12" t="s">
        <v>928</v>
      </c>
      <c r="E274" s="12" t="s">
        <v>929</v>
      </c>
      <c r="F274" s="13">
        <v>41919</v>
      </c>
      <c r="G274" s="7" t="s">
        <v>428</v>
      </c>
      <c r="H274" s="1" t="str">
        <f t="shared" si="8"/>
        <v>30TVN364557: Torres de Abajo. Encinar, 855 m. 7-10-2014 [JG052]</v>
      </c>
      <c r="I274" s="14" t="s">
        <v>907</v>
      </c>
      <c r="J274" s="14" t="s">
        <v>930</v>
      </c>
      <c r="K274" s="14" t="s">
        <v>146</v>
      </c>
      <c r="L274" s="15"/>
      <c r="M274" s="7" t="str">
        <f t="shared" si="9"/>
        <v>Merendera montana</v>
      </c>
    </row>
    <row r="275" spans="1:13" ht="15.6" x14ac:dyDescent="0.3">
      <c r="A275" s="11" t="s">
        <v>1487</v>
      </c>
      <c r="B275" s="44" t="s">
        <v>63</v>
      </c>
      <c r="C275" s="11" t="s">
        <v>64</v>
      </c>
      <c r="D275" s="11" t="s">
        <v>931</v>
      </c>
      <c r="E275" s="12" t="s">
        <v>932</v>
      </c>
      <c r="F275" s="13">
        <v>41805</v>
      </c>
      <c r="G275" s="7" t="s">
        <v>66</v>
      </c>
      <c r="H275" s="1" t="str">
        <f t="shared" si="8"/>
        <v>30TVN408533: Cubillos del Rojo. Encinar, 901 m. 15-6-2014 [JG108]</v>
      </c>
      <c r="I275" s="14" t="s">
        <v>907</v>
      </c>
      <c r="J275" s="14" t="s">
        <v>933</v>
      </c>
      <c r="K275" s="14" t="s">
        <v>934</v>
      </c>
      <c r="L275" s="15"/>
      <c r="M275" s="7" t="str">
        <f t="shared" si="9"/>
        <v>Muscari neglectum</v>
      </c>
    </row>
    <row r="276" spans="1:13" ht="15.6" x14ac:dyDescent="0.3">
      <c r="A276" s="4" t="s">
        <v>1488</v>
      </c>
      <c r="B276" s="44" t="s">
        <v>21</v>
      </c>
      <c r="C276" s="4" t="s">
        <v>22</v>
      </c>
      <c r="D276" s="5" t="s">
        <v>935</v>
      </c>
      <c r="E276" s="5" t="s">
        <v>936</v>
      </c>
      <c r="F276" s="6">
        <v>41781</v>
      </c>
      <c r="G276" s="7" t="s">
        <v>38</v>
      </c>
      <c r="H276" s="1" t="str">
        <f t="shared" si="8"/>
        <v>30TVN383582: San Cibrián. Hayedo, 750 m. 22-5-2014 [JG277]</v>
      </c>
      <c r="I276" s="8" t="s">
        <v>907</v>
      </c>
      <c r="J276" s="8" t="s">
        <v>937</v>
      </c>
      <c r="K276" s="8" t="s">
        <v>938</v>
      </c>
      <c r="L276" s="10"/>
      <c r="M276" s="10" t="str">
        <f t="shared" si="9"/>
        <v>Polygonatum multiflorum</v>
      </c>
    </row>
    <row r="277" spans="1:13" ht="15.6" x14ac:dyDescent="0.3">
      <c r="A277" s="11" t="s">
        <v>1489</v>
      </c>
      <c r="B277" s="44" t="s">
        <v>301</v>
      </c>
      <c r="C277" s="11" t="s">
        <v>302</v>
      </c>
      <c r="D277" s="17" t="s">
        <v>939</v>
      </c>
      <c r="E277" s="12" t="s">
        <v>940</v>
      </c>
      <c r="F277" s="13">
        <v>41798</v>
      </c>
      <c r="G277" s="7" t="s">
        <v>86</v>
      </c>
      <c r="H277" s="1" t="str">
        <f t="shared" si="8"/>
        <v>30TVN365530: Hoz de Arreba. Encinar, 883 m. 8-6-2014 [JG180]</v>
      </c>
      <c r="I277" s="14" t="s">
        <v>907</v>
      </c>
      <c r="J277" s="14" t="s">
        <v>941</v>
      </c>
      <c r="K277" s="14" t="s">
        <v>942</v>
      </c>
      <c r="L277" s="15"/>
      <c r="M277" s="7" t="str">
        <f t="shared" si="9"/>
        <v>Ruscus aculeatus</v>
      </c>
    </row>
    <row r="278" spans="1:13" ht="15.6" x14ac:dyDescent="0.3">
      <c r="A278" s="11" t="s">
        <v>1490</v>
      </c>
      <c r="B278" s="44" t="s">
        <v>55</v>
      </c>
      <c r="C278" s="11" t="s">
        <v>56</v>
      </c>
      <c r="D278" s="12" t="s">
        <v>943</v>
      </c>
      <c r="E278" s="12" t="s">
        <v>944</v>
      </c>
      <c r="F278" s="13">
        <v>41919</v>
      </c>
      <c r="G278" s="7" t="s">
        <v>428</v>
      </c>
      <c r="H278" s="1" t="str">
        <f t="shared" si="8"/>
        <v>30TVN364557: Torres de Abajo. Encinar, 855 m. 7-10-2014 [JG053]</v>
      </c>
      <c r="I278" s="14" t="s">
        <v>907</v>
      </c>
      <c r="J278" s="14" t="s">
        <v>945</v>
      </c>
      <c r="K278" s="14" t="s">
        <v>946</v>
      </c>
      <c r="L278" s="15"/>
      <c r="M278" s="7" t="str">
        <f t="shared" si="9"/>
        <v>Scilla autumnalis</v>
      </c>
    </row>
    <row r="279" spans="1:13" ht="15.6" x14ac:dyDescent="0.3">
      <c r="A279" s="11" t="s">
        <v>1491</v>
      </c>
      <c r="B279" s="44" t="s">
        <v>35</v>
      </c>
      <c r="C279" s="11" t="s">
        <v>36</v>
      </c>
      <c r="D279" s="12" t="s">
        <v>947</v>
      </c>
      <c r="E279" s="12" t="s">
        <v>948</v>
      </c>
      <c r="F279" s="13">
        <v>41746</v>
      </c>
      <c r="G279" s="7" t="s">
        <v>230</v>
      </c>
      <c r="H279" s="1" t="str">
        <f t="shared" si="8"/>
        <v>30TVN324545: Cilleruelo de Bezana. Hayedo de Carrales, 962 m. 17-4-2014 [JG221]</v>
      </c>
      <c r="I279" s="14" t="s">
        <v>907</v>
      </c>
      <c r="J279" s="14" t="s">
        <v>945</v>
      </c>
      <c r="K279" s="14" t="s">
        <v>949</v>
      </c>
      <c r="L279" s="15"/>
      <c r="M279" s="7" t="str">
        <f t="shared" si="9"/>
        <v>Scilla lilio-hyacinthus</v>
      </c>
    </row>
    <row r="280" spans="1:13" ht="15.6" x14ac:dyDescent="0.3">
      <c r="A280" s="11" t="s">
        <v>1491</v>
      </c>
      <c r="B280" s="44" t="s">
        <v>451</v>
      </c>
      <c r="C280" s="11" t="s">
        <v>452</v>
      </c>
      <c r="D280" s="12" t="s">
        <v>950</v>
      </c>
      <c r="E280" s="12" t="s">
        <v>951</v>
      </c>
      <c r="F280" s="13">
        <v>41792</v>
      </c>
      <c r="G280" s="7" t="s">
        <v>46</v>
      </c>
      <c r="H280" s="1" t="str">
        <f t="shared" si="8"/>
        <v>30TVN359563: Torres de Abajo. Hayedo, 887 m. 2-6-2014 [JG257]</v>
      </c>
      <c r="I280" s="14" t="s">
        <v>907</v>
      </c>
      <c r="J280" s="14" t="s">
        <v>945</v>
      </c>
      <c r="K280" s="14" t="s">
        <v>949</v>
      </c>
      <c r="L280" s="7"/>
      <c r="M280" s="7" t="str">
        <f t="shared" si="9"/>
        <v>Scilla lilio-hyacinthus</v>
      </c>
    </row>
    <row r="281" spans="1:13" ht="15.6" x14ac:dyDescent="0.3">
      <c r="A281" s="11" t="s">
        <v>1492</v>
      </c>
      <c r="B281" s="44" t="s">
        <v>187</v>
      </c>
      <c r="C281" s="11" t="s">
        <v>188</v>
      </c>
      <c r="D281" s="12" t="s">
        <v>952</v>
      </c>
      <c r="E281" s="12" t="s">
        <v>953</v>
      </c>
      <c r="F281" s="13">
        <v>41807</v>
      </c>
      <c r="G281" s="7" t="s">
        <v>190</v>
      </c>
      <c r="H281" s="1" t="str">
        <f t="shared" si="8"/>
        <v>30TVN366512: Munilla. Melojar, 764 m. 17-6-2014 [JG326]</v>
      </c>
      <c r="I281" s="14" t="s">
        <v>907</v>
      </c>
      <c r="J281" s="14" t="s">
        <v>954</v>
      </c>
      <c r="K281" s="14" t="s">
        <v>955</v>
      </c>
      <c r="L281" s="15"/>
      <c r="M281" s="7" t="str">
        <f t="shared" si="9"/>
        <v>Simethis mattiazzii</v>
      </c>
    </row>
    <row r="282" spans="1:13" ht="15.6" x14ac:dyDescent="0.3">
      <c r="A282" s="11" t="s">
        <v>1492</v>
      </c>
      <c r="B282" s="44" t="s">
        <v>192</v>
      </c>
      <c r="C282" s="11" t="s">
        <v>193</v>
      </c>
      <c r="D282" s="12" t="s">
        <v>956</v>
      </c>
      <c r="E282" s="12" t="s">
        <v>957</v>
      </c>
      <c r="F282" s="13">
        <v>41793</v>
      </c>
      <c r="G282" s="7" t="s">
        <v>195</v>
      </c>
      <c r="H282" s="1" t="str">
        <f t="shared" si="8"/>
        <v>30TVN325592: Virtus. Melojar, 918 m. 3-6-2014 [JG350]</v>
      </c>
      <c r="I282" s="14" t="s">
        <v>907</v>
      </c>
      <c r="J282" s="14" t="s">
        <v>954</v>
      </c>
      <c r="K282" s="14" t="s">
        <v>955</v>
      </c>
      <c r="L282" s="15"/>
      <c r="M282" s="7" t="str">
        <f t="shared" si="9"/>
        <v>Simethis mattiazzii</v>
      </c>
    </row>
    <row r="283" spans="1:13" ht="15.6" x14ac:dyDescent="0.3">
      <c r="A283" s="11" t="s">
        <v>1493</v>
      </c>
      <c r="B283" s="44" t="s">
        <v>148</v>
      </c>
      <c r="C283" s="11" t="s">
        <v>149</v>
      </c>
      <c r="D283" s="17" t="s">
        <v>958</v>
      </c>
      <c r="E283" s="12" t="s">
        <v>959</v>
      </c>
      <c r="F283" s="13">
        <v>41799</v>
      </c>
      <c r="G283" s="7" t="s">
        <v>24</v>
      </c>
      <c r="H283" s="1" t="str">
        <f t="shared" si="8"/>
        <v>30TVN371543: Hoz de Arreba. Quejigar, 839 m. 9-6-2014 [JG148]</v>
      </c>
      <c r="I283" s="19" t="s">
        <v>960</v>
      </c>
      <c r="J283" s="19" t="s">
        <v>961</v>
      </c>
      <c r="K283" s="14" t="s">
        <v>962</v>
      </c>
      <c r="L283" s="15"/>
      <c r="M283" s="7" t="str">
        <f t="shared" si="9"/>
        <v>Linum narbonense</v>
      </c>
    </row>
    <row r="284" spans="1:13" ht="15.6" x14ac:dyDescent="0.3">
      <c r="A284" s="11" t="s">
        <v>1493</v>
      </c>
      <c r="B284" s="44" t="s">
        <v>154</v>
      </c>
      <c r="C284" s="11" t="s">
        <v>155</v>
      </c>
      <c r="D284" s="12" t="s">
        <v>963</v>
      </c>
      <c r="E284" s="12" t="s">
        <v>964</v>
      </c>
      <c r="F284" s="13">
        <v>41795</v>
      </c>
      <c r="G284" s="7" t="s">
        <v>58</v>
      </c>
      <c r="H284" s="1" t="str">
        <f t="shared" si="8"/>
        <v>30TVN396513: Lándraves. Quejigar, 676 m. 5-6-2014 [JG197]</v>
      </c>
      <c r="I284" s="14" t="s">
        <v>960</v>
      </c>
      <c r="J284" s="14" t="s">
        <v>961</v>
      </c>
      <c r="K284" s="14" t="s">
        <v>962</v>
      </c>
      <c r="L284" s="15"/>
      <c r="M284" s="7" t="str">
        <f t="shared" si="9"/>
        <v>Linum narbonense</v>
      </c>
    </row>
    <row r="285" spans="1:13" ht="15.6" x14ac:dyDescent="0.3">
      <c r="A285" s="11" t="s">
        <v>1494</v>
      </c>
      <c r="B285" s="44" t="s">
        <v>68</v>
      </c>
      <c r="C285" s="11" t="s">
        <v>69</v>
      </c>
      <c r="D285" s="12" t="s">
        <v>965</v>
      </c>
      <c r="E285" s="12" t="s">
        <v>966</v>
      </c>
      <c r="F285" s="13">
        <v>41783</v>
      </c>
      <c r="G285" s="7" t="s">
        <v>121</v>
      </c>
      <c r="H285" s="1" t="str">
        <f t="shared" si="8"/>
        <v>30TVN373545: Hoz de Arreba. Encinar, 829 m. 24-5-2014 [JG131]</v>
      </c>
      <c r="I285" s="14" t="s">
        <v>960</v>
      </c>
      <c r="J285" s="14" t="s">
        <v>961</v>
      </c>
      <c r="K285" s="14" t="s">
        <v>967</v>
      </c>
      <c r="L285" s="15"/>
      <c r="M285" s="7" t="str">
        <f t="shared" si="9"/>
        <v>Linum suffruticosum subsp. appresum</v>
      </c>
    </row>
    <row r="286" spans="1:13" ht="15.6" x14ac:dyDescent="0.3">
      <c r="A286" s="11" t="s">
        <v>1494</v>
      </c>
      <c r="B286" s="44" t="s">
        <v>148</v>
      </c>
      <c r="C286" s="11" t="s">
        <v>149</v>
      </c>
      <c r="D286" s="17" t="s">
        <v>968</v>
      </c>
      <c r="E286" s="12" t="s">
        <v>969</v>
      </c>
      <c r="F286" s="13">
        <v>41799</v>
      </c>
      <c r="G286" s="7" t="s">
        <v>24</v>
      </c>
      <c r="H286" s="1" t="str">
        <f t="shared" si="8"/>
        <v>30TVN371543: Hoz de Arreba. Quejigar, 839 m. 9-6-2014 [JG149]</v>
      </c>
      <c r="I286" s="19" t="s">
        <v>960</v>
      </c>
      <c r="J286" s="19" t="s">
        <v>961</v>
      </c>
      <c r="K286" s="14" t="s">
        <v>967</v>
      </c>
      <c r="L286" s="15"/>
      <c r="M286" s="7" t="str">
        <f t="shared" si="9"/>
        <v>Linum suffruticosum subsp. appresum</v>
      </c>
    </row>
    <row r="287" spans="1:13" ht="15.6" x14ac:dyDescent="0.3">
      <c r="A287" s="4" t="s">
        <v>1495</v>
      </c>
      <c r="B287" s="44" t="s">
        <v>29</v>
      </c>
      <c r="C287" s="5" t="s">
        <v>30</v>
      </c>
      <c r="D287" s="5" t="s">
        <v>970</v>
      </c>
      <c r="E287" s="5" t="s">
        <v>971</v>
      </c>
      <c r="F287" s="6">
        <v>41806</v>
      </c>
      <c r="G287" s="7" t="s">
        <v>32</v>
      </c>
      <c r="H287" s="1" t="str">
        <f t="shared" si="8"/>
        <v>30TVN369591: Argomedo. Melojar, 900 m. 16-6-2014 [JG021]</v>
      </c>
      <c r="I287" s="8" t="s">
        <v>972</v>
      </c>
      <c r="J287" s="8" t="s">
        <v>973</v>
      </c>
      <c r="K287" s="8" t="s">
        <v>974</v>
      </c>
      <c r="L287" s="9"/>
      <c r="M287" s="10" t="str">
        <f t="shared" si="9"/>
        <v>Ligustrum vulgare</v>
      </c>
    </row>
    <row r="288" spans="1:13" ht="15.6" x14ac:dyDescent="0.3">
      <c r="A288" s="11" t="s">
        <v>1496</v>
      </c>
      <c r="B288" s="44" t="s">
        <v>345</v>
      </c>
      <c r="C288" s="11" t="s">
        <v>346</v>
      </c>
      <c r="D288" s="11" t="s">
        <v>975</v>
      </c>
      <c r="E288" s="12" t="s">
        <v>976</v>
      </c>
      <c r="F288" s="13">
        <v>41807</v>
      </c>
      <c r="G288" s="7" t="s">
        <v>190</v>
      </c>
      <c r="H288" s="1" t="str">
        <f t="shared" si="8"/>
        <v>30TVN369513: Munilla. Melojar, 805 m. 17-6-2014 [JG342]</v>
      </c>
      <c r="I288" s="14" t="s">
        <v>977</v>
      </c>
      <c r="J288" s="14" t="s">
        <v>978</v>
      </c>
      <c r="K288" s="14" t="s">
        <v>979</v>
      </c>
      <c r="L288" s="15"/>
      <c r="M288" s="7" t="str">
        <f t="shared" si="9"/>
        <v>Serapias lingua</v>
      </c>
    </row>
    <row r="289" spans="1:13" ht="15.6" x14ac:dyDescent="0.3">
      <c r="A289" s="11" t="s">
        <v>1497</v>
      </c>
      <c r="B289" s="44" t="s">
        <v>573</v>
      </c>
      <c r="C289" s="11" t="s">
        <v>574</v>
      </c>
      <c r="D289" s="17" t="s">
        <v>980</v>
      </c>
      <c r="E289" s="12" t="s">
        <v>981</v>
      </c>
      <c r="F289" s="13">
        <v>41804</v>
      </c>
      <c r="G289" s="7" t="s">
        <v>94</v>
      </c>
      <c r="H289" s="1" t="str">
        <f t="shared" si="8"/>
        <v>30TVN332537: Cilleruelo de Bezana. Hayedo de Carrales, 996 m. 14-6-2014 [JG247]</v>
      </c>
      <c r="I289" s="14" t="s">
        <v>982</v>
      </c>
      <c r="J289" s="14" t="s">
        <v>983</v>
      </c>
      <c r="K289" s="14" t="s">
        <v>984</v>
      </c>
      <c r="L289" s="15"/>
      <c r="M289" s="7" t="str">
        <f t="shared" si="9"/>
        <v>Oxalis acetosella subsp. acetosella</v>
      </c>
    </row>
    <row r="290" spans="1:13" ht="15.6" x14ac:dyDescent="0.3">
      <c r="A290" s="4" t="s">
        <v>1498</v>
      </c>
      <c r="B290" s="44" t="s">
        <v>118</v>
      </c>
      <c r="C290" s="4" t="s">
        <v>119</v>
      </c>
      <c r="D290" s="5" t="s">
        <v>985</v>
      </c>
      <c r="E290" s="5" t="s">
        <v>986</v>
      </c>
      <c r="F290" s="6">
        <v>41800</v>
      </c>
      <c r="G290" s="7" t="s">
        <v>198</v>
      </c>
      <c r="H290" s="1" t="str">
        <f t="shared" si="8"/>
        <v>30TVN303593: Cilleruelo de Bezana. Carballeda, 819 m. 10-6-2014 [JG403]</v>
      </c>
      <c r="I290" s="8" t="s">
        <v>987</v>
      </c>
      <c r="J290" s="8" t="s">
        <v>988</v>
      </c>
      <c r="K290" s="8" t="s">
        <v>989</v>
      </c>
      <c r="L290" s="9"/>
      <c r="M290" s="10" t="str">
        <f t="shared" si="9"/>
        <v>Ceratocapnos claviculata</v>
      </c>
    </row>
    <row r="291" spans="1:13" ht="15.6" x14ac:dyDescent="0.3">
      <c r="A291" s="11" t="s">
        <v>1498</v>
      </c>
      <c r="B291" s="44" t="s">
        <v>236</v>
      </c>
      <c r="C291" s="11" t="s">
        <v>237</v>
      </c>
      <c r="D291" s="12" t="s">
        <v>990</v>
      </c>
      <c r="E291" s="12" t="s">
        <v>991</v>
      </c>
      <c r="F291" s="13">
        <v>41782</v>
      </c>
      <c r="G291" s="7" t="s">
        <v>239</v>
      </c>
      <c r="H291" s="1" t="str">
        <f t="shared" si="8"/>
        <v>30TVN306592: Cilleruelo de Bezana. Carballeda, 889 m. 23-5-2014 [JG410]</v>
      </c>
      <c r="I291" s="14" t="s">
        <v>987</v>
      </c>
      <c r="J291" s="14" t="s">
        <v>988</v>
      </c>
      <c r="K291" s="14" t="s">
        <v>989</v>
      </c>
      <c r="L291" s="15"/>
      <c r="M291" s="7" t="str">
        <f t="shared" si="9"/>
        <v>Ceratocapnos claviculata</v>
      </c>
    </row>
    <row r="292" spans="1:13" ht="15.6" x14ac:dyDescent="0.3">
      <c r="A292" s="11" t="s">
        <v>1499</v>
      </c>
      <c r="B292" s="44" t="s">
        <v>187</v>
      </c>
      <c r="C292" s="11" t="s">
        <v>188</v>
      </c>
      <c r="D292" s="12" t="s">
        <v>992</v>
      </c>
      <c r="E292" s="12" t="s">
        <v>993</v>
      </c>
      <c r="F292" s="13">
        <v>41796</v>
      </c>
      <c r="G292" s="7" t="s">
        <v>144</v>
      </c>
      <c r="H292" s="1" t="str">
        <f t="shared" si="8"/>
        <v>30TVN366512: Munilla. Melojar, 764 m. 6-6-2014 [JG327]</v>
      </c>
      <c r="I292" s="14" t="s">
        <v>994</v>
      </c>
      <c r="J292" s="14" t="s">
        <v>995</v>
      </c>
      <c r="K292" s="14" t="s">
        <v>504</v>
      </c>
      <c r="L292" s="7"/>
      <c r="M292" s="7" t="str">
        <f t="shared" si="9"/>
        <v>Polygala vulgaris</v>
      </c>
    </row>
    <row r="293" spans="1:13" ht="15.6" x14ac:dyDescent="0.3">
      <c r="A293" s="11" t="s">
        <v>1499</v>
      </c>
      <c r="B293" s="44" t="s">
        <v>345</v>
      </c>
      <c r="C293" s="11" t="s">
        <v>346</v>
      </c>
      <c r="D293" s="11" t="s">
        <v>996</v>
      </c>
      <c r="E293" s="12" t="s">
        <v>997</v>
      </c>
      <c r="F293" s="13">
        <v>41807</v>
      </c>
      <c r="G293" s="7" t="s">
        <v>190</v>
      </c>
      <c r="H293" s="1" t="str">
        <f t="shared" si="8"/>
        <v>30TVN369513: Munilla. Melojar, 805 m. 17-6-2014 [JG343]</v>
      </c>
      <c r="I293" s="14" t="s">
        <v>994</v>
      </c>
      <c r="J293" s="14" t="s">
        <v>995</v>
      </c>
      <c r="K293" s="14" t="s">
        <v>504</v>
      </c>
      <c r="L293" s="15"/>
      <c r="M293" s="7" t="str">
        <f t="shared" si="9"/>
        <v>Polygala vulgaris</v>
      </c>
    </row>
    <row r="294" spans="1:13" ht="15.6" x14ac:dyDescent="0.3">
      <c r="A294" s="11" t="s">
        <v>1500</v>
      </c>
      <c r="B294" s="44" t="s">
        <v>345</v>
      </c>
      <c r="C294" s="11" t="s">
        <v>346</v>
      </c>
      <c r="D294" s="11" t="s">
        <v>998</v>
      </c>
      <c r="E294" s="12" t="s">
        <v>999</v>
      </c>
      <c r="F294" s="13">
        <v>41807</v>
      </c>
      <c r="G294" s="7" t="s">
        <v>190</v>
      </c>
      <c r="H294" s="1" t="str">
        <f t="shared" si="8"/>
        <v>30TVN369513: Munilla. Melojar, 805 m. 17-6-2014 [JG344]</v>
      </c>
      <c r="I294" s="14" t="s">
        <v>1000</v>
      </c>
      <c r="J294" s="14" t="s">
        <v>1001</v>
      </c>
      <c r="K294" s="14" t="s">
        <v>1002</v>
      </c>
      <c r="L294" s="15"/>
      <c r="M294" s="7" t="str">
        <f t="shared" si="9"/>
        <v>Rumex acetosa subsp. acetosa</v>
      </c>
    </row>
    <row r="295" spans="1:13" ht="15.6" x14ac:dyDescent="0.3">
      <c r="A295" s="4" t="s">
        <v>1501</v>
      </c>
      <c r="B295" s="44" t="s">
        <v>21</v>
      </c>
      <c r="C295" s="4" t="s">
        <v>22</v>
      </c>
      <c r="D295" s="5" t="s">
        <v>1003</v>
      </c>
      <c r="E295" s="5" t="s">
        <v>1004</v>
      </c>
      <c r="F295" s="6">
        <v>41781</v>
      </c>
      <c r="G295" s="7" t="s">
        <v>38</v>
      </c>
      <c r="H295" s="1" t="str">
        <f t="shared" si="8"/>
        <v>30TVN383582: San Cibrián. Hayedo, 750 m. 22-5-2014 [JG278]</v>
      </c>
      <c r="I295" s="8" t="s">
        <v>1005</v>
      </c>
      <c r="J295" s="8" t="s">
        <v>1006</v>
      </c>
      <c r="K295" s="8" t="s">
        <v>974</v>
      </c>
      <c r="L295" s="10"/>
      <c r="M295" s="10" t="str">
        <f t="shared" si="9"/>
        <v>Polypodium vulgare</v>
      </c>
    </row>
    <row r="296" spans="1:13" ht="15.6" x14ac:dyDescent="0.3">
      <c r="A296" s="4" t="s">
        <v>1501</v>
      </c>
      <c r="B296" s="44" t="s">
        <v>118</v>
      </c>
      <c r="C296" s="4" t="s">
        <v>119</v>
      </c>
      <c r="D296" s="5" t="s">
        <v>1007</v>
      </c>
      <c r="E296" s="5" t="s">
        <v>1008</v>
      </c>
      <c r="F296" s="6">
        <v>41782</v>
      </c>
      <c r="G296" s="7" t="s">
        <v>239</v>
      </c>
      <c r="H296" s="1" t="str">
        <f t="shared" si="8"/>
        <v>30TVN303593: Cilleruelo de Bezana. Carballeda, 819 m. 23-5-2014 [JG404]</v>
      </c>
      <c r="I296" s="8" t="s">
        <v>1005</v>
      </c>
      <c r="J296" s="8" t="s">
        <v>1006</v>
      </c>
      <c r="K296" s="8" t="s">
        <v>974</v>
      </c>
      <c r="L296" s="9"/>
      <c r="M296" s="10" t="str">
        <f t="shared" si="9"/>
        <v>Polypodium vulgare</v>
      </c>
    </row>
    <row r="297" spans="1:13" ht="15.6" x14ac:dyDescent="0.3">
      <c r="A297" s="11" t="s">
        <v>1502</v>
      </c>
      <c r="B297" s="44" t="s">
        <v>301</v>
      </c>
      <c r="C297" s="11" t="s">
        <v>302</v>
      </c>
      <c r="D297" s="21" t="s">
        <v>1009</v>
      </c>
      <c r="E297" s="12" t="s">
        <v>1010</v>
      </c>
      <c r="F297" s="13">
        <v>41798</v>
      </c>
      <c r="G297" s="7" t="s">
        <v>86</v>
      </c>
      <c r="H297" s="1" t="str">
        <f t="shared" si="8"/>
        <v>30TVN365530: Hoz de Arreba. Encinar, 883 m. 8-6-2014 [JG181]</v>
      </c>
      <c r="I297" s="14" t="s">
        <v>1011</v>
      </c>
      <c r="J297" s="14" t="s">
        <v>1012</v>
      </c>
      <c r="K297" s="14" t="s">
        <v>1013</v>
      </c>
      <c r="L297" s="15"/>
      <c r="M297" s="7" t="str">
        <f t="shared" si="9"/>
        <v>Asterolinon linum-stellatum</v>
      </c>
    </row>
    <row r="298" spans="1:13" ht="15.6" x14ac:dyDescent="0.3">
      <c r="A298" s="11" t="s">
        <v>1503</v>
      </c>
      <c r="B298" s="44" t="s">
        <v>63</v>
      </c>
      <c r="C298" s="11" t="s">
        <v>64</v>
      </c>
      <c r="D298" s="17" t="s">
        <v>1014</v>
      </c>
      <c r="E298" s="12" t="s">
        <v>1015</v>
      </c>
      <c r="F298" s="13">
        <v>41805</v>
      </c>
      <c r="G298" s="7" t="s">
        <v>66</v>
      </c>
      <c r="H298" s="1" t="str">
        <f t="shared" si="8"/>
        <v>30TVN408533: Cubillos del Rojo. Encinar, 901 m. 15-6-2014 [JG109]</v>
      </c>
      <c r="I298" s="14" t="s">
        <v>1011</v>
      </c>
      <c r="J298" s="14" t="s">
        <v>1016</v>
      </c>
      <c r="K298" s="14" t="s">
        <v>1017</v>
      </c>
      <c r="L298" s="15"/>
      <c r="M298" s="7" t="str">
        <f t="shared" si="9"/>
        <v>Coris monspeliensis subsp. monspeliensis</v>
      </c>
    </row>
    <row r="299" spans="1:13" ht="15.6" x14ac:dyDescent="0.3">
      <c r="A299" s="11" t="s">
        <v>1503</v>
      </c>
      <c r="B299" s="44" t="s">
        <v>267</v>
      </c>
      <c r="C299" s="11" t="s">
        <v>268</v>
      </c>
      <c r="D299" s="12" t="s">
        <v>1018</v>
      </c>
      <c r="E299" s="12" t="s">
        <v>1019</v>
      </c>
      <c r="F299" s="13">
        <v>41796</v>
      </c>
      <c r="G299" s="7" t="s">
        <v>144</v>
      </c>
      <c r="H299" s="1" t="str">
        <f t="shared" si="8"/>
        <v>30TVN367537: Hoz de Arreba. Quejigar, 732 m. 6-6-2014 [JG163]</v>
      </c>
      <c r="I299" s="14" t="s">
        <v>1011</v>
      </c>
      <c r="J299" s="14" t="s">
        <v>1016</v>
      </c>
      <c r="K299" s="14" t="s">
        <v>1017</v>
      </c>
      <c r="L299" s="7"/>
      <c r="M299" s="7" t="str">
        <f t="shared" si="9"/>
        <v>Coris monspeliensis subsp. monspeliensis</v>
      </c>
    </row>
    <row r="300" spans="1:13" ht="15.6" x14ac:dyDescent="0.3">
      <c r="A300" s="11" t="s">
        <v>1503</v>
      </c>
      <c r="B300" s="44" t="s">
        <v>301</v>
      </c>
      <c r="C300" s="11" t="s">
        <v>302</v>
      </c>
      <c r="D300" s="12" t="s">
        <v>1020</v>
      </c>
      <c r="E300" s="12" t="s">
        <v>1021</v>
      </c>
      <c r="F300" s="13">
        <v>41798</v>
      </c>
      <c r="G300" s="7" t="s">
        <v>86</v>
      </c>
      <c r="H300" s="1" t="str">
        <f t="shared" si="8"/>
        <v>30TVN365530: Hoz de Arreba. Encinar, 883 m. 8-6-2014 [JG182]</v>
      </c>
      <c r="I300" s="14" t="s">
        <v>1011</v>
      </c>
      <c r="J300" s="14" t="s">
        <v>1016</v>
      </c>
      <c r="K300" s="14" t="s">
        <v>1017</v>
      </c>
      <c r="L300" s="15"/>
      <c r="M300" s="7" t="str">
        <f t="shared" si="9"/>
        <v>Coris monspeliensis subsp. monspeliensis</v>
      </c>
    </row>
    <row r="301" spans="1:13" ht="15.6" x14ac:dyDescent="0.3">
      <c r="A301" s="4" t="s">
        <v>1504</v>
      </c>
      <c r="B301" s="44" t="s">
        <v>512</v>
      </c>
      <c r="C301" s="4" t="s">
        <v>513</v>
      </c>
      <c r="D301" s="5" t="s">
        <v>1022</v>
      </c>
      <c r="E301" s="5" t="s">
        <v>1023</v>
      </c>
      <c r="F301" s="6">
        <v>41806</v>
      </c>
      <c r="G301" s="7" t="s">
        <v>32</v>
      </c>
      <c r="H301" s="1" t="str">
        <f t="shared" si="8"/>
        <v>30TVN308588: Cilleruelo de Bezana. Carballeda, 806 m. 16-6-2014 [JG030]</v>
      </c>
      <c r="I301" s="8" t="s">
        <v>1011</v>
      </c>
      <c r="J301" s="8" t="s">
        <v>1024</v>
      </c>
      <c r="K301" s="8" t="s">
        <v>1025</v>
      </c>
      <c r="L301" s="9"/>
      <c r="M301" s="10" t="str">
        <f t="shared" si="9"/>
        <v>Lysimachia nemorum</v>
      </c>
    </row>
    <row r="302" spans="1:13" ht="15.6" x14ac:dyDescent="0.3">
      <c r="A302" s="11" t="s">
        <v>1504</v>
      </c>
      <c r="B302" s="44" t="s">
        <v>573</v>
      </c>
      <c r="C302" s="11" t="s">
        <v>574</v>
      </c>
      <c r="D302" s="12" t="s">
        <v>1026</v>
      </c>
      <c r="E302" s="12" t="s">
        <v>1027</v>
      </c>
      <c r="F302" s="13">
        <v>41804</v>
      </c>
      <c r="G302" s="7" t="s">
        <v>94</v>
      </c>
      <c r="H302" s="1" t="str">
        <f t="shared" si="8"/>
        <v>30TVN332537: Cilleruelo de Bezana. Hayedo de Carrales, 996 m. 14-6-2014 [JG248]</v>
      </c>
      <c r="I302" s="14" t="s">
        <v>1011</v>
      </c>
      <c r="J302" s="14" t="s">
        <v>1024</v>
      </c>
      <c r="K302" s="14" t="s">
        <v>1025</v>
      </c>
      <c r="L302" s="15"/>
      <c r="M302" s="7" t="str">
        <f t="shared" si="9"/>
        <v>Lysimachia nemorum</v>
      </c>
    </row>
    <row r="303" spans="1:13" ht="15.6" x14ac:dyDescent="0.3">
      <c r="A303" s="11" t="s">
        <v>1504</v>
      </c>
      <c r="B303" s="44" t="s">
        <v>391</v>
      </c>
      <c r="C303" s="11" t="s">
        <v>392</v>
      </c>
      <c r="D303" s="12" t="s">
        <v>1028</v>
      </c>
      <c r="E303" s="12" t="s">
        <v>1029</v>
      </c>
      <c r="F303" s="13">
        <v>41793</v>
      </c>
      <c r="G303" s="7" t="s">
        <v>195</v>
      </c>
      <c r="H303" s="1" t="str">
        <f t="shared" si="8"/>
        <v>30TVN332571: Montoto. Hayedo, 905 m. 3-6-2014 [JG264]</v>
      </c>
      <c r="I303" s="14" t="s">
        <v>1011</v>
      </c>
      <c r="J303" s="14" t="s">
        <v>1024</v>
      </c>
      <c r="K303" s="14" t="s">
        <v>1025</v>
      </c>
      <c r="L303" s="15"/>
      <c r="M303" s="7" t="str">
        <f t="shared" si="9"/>
        <v>Lysimachia nemorum</v>
      </c>
    </row>
    <row r="304" spans="1:13" ht="15.6" x14ac:dyDescent="0.3">
      <c r="A304" s="4" t="s">
        <v>1505</v>
      </c>
      <c r="B304" s="44" t="s">
        <v>13</v>
      </c>
      <c r="C304" s="5" t="s">
        <v>14</v>
      </c>
      <c r="D304" s="5" t="s">
        <v>1030</v>
      </c>
      <c r="E304" s="5" t="s">
        <v>1031</v>
      </c>
      <c r="F304" s="6">
        <v>41748</v>
      </c>
      <c r="G304" s="7" t="s">
        <v>16</v>
      </c>
      <c r="H304" s="1" t="str">
        <f t="shared" si="8"/>
        <v>30TVN338557: Torres de Abajo. 860 m. 19-4-2014 [JG003]</v>
      </c>
      <c r="I304" s="8" t="s">
        <v>1011</v>
      </c>
      <c r="J304" s="8" t="s">
        <v>1032</v>
      </c>
      <c r="K304" s="8" t="s">
        <v>1033</v>
      </c>
      <c r="L304" s="9"/>
      <c r="M304" s="10" t="str">
        <f t="shared" si="9"/>
        <v>Primula veris subsp. columnae</v>
      </c>
    </row>
    <row r="305" spans="1:13" ht="15.6" x14ac:dyDescent="0.3">
      <c r="A305" s="11" t="s">
        <v>1505</v>
      </c>
      <c r="B305" s="44" t="s">
        <v>73</v>
      </c>
      <c r="C305" s="11" t="s">
        <v>74</v>
      </c>
      <c r="D305" s="12" t="s">
        <v>1034</v>
      </c>
      <c r="E305" s="12" t="s">
        <v>1035</v>
      </c>
      <c r="F305" s="13">
        <v>41805</v>
      </c>
      <c r="G305" s="7" t="s">
        <v>66</v>
      </c>
      <c r="H305" s="1" t="str">
        <f t="shared" si="8"/>
        <v>30TVN407532: Cubillos del Rojo. Quejigar, 894 m. 15-6-2014 [JG086]</v>
      </c>
      <c r="I305" s="14" t="s">
        <v>1011</v>
      </c>
      <c r="J305" s="14" t="s">
        <v>1032</v>
      </c>
      <c r="K305" s="14" t="s">
        <v>1033</v>
      </c>
      <c r="L305" s="15"/>
      <c r="M305" s="7" t="str">
        <f t="shared" si="9"/>
        <v>Primula veris subsp. columnae</v>
      </c>
    </row>
    <row r="306" spans="1:13" ht="15.6" x14ac:dyDescent="0.3">
      <c r="A306" s="11" t="s">
        <v>1506</v>
      </c>
      <c r="B306" s="44" t="s">
        <v>35</v>
      </c>
      <c r="C306" s="11" t="s">
        <v>36</v>
      </c>
      <c r="D306" s="12" t="s">
        <v>1036</v>
      </c>
      <c r="E306" s="12" t="s">
        <v>1037</v>
      </c>
      <c r="F306" s="13">
        <v>41746</v>
      </c>
      <c r="G306" s="7" t="s">
        <v>230</v>
      </c>
      <c r="H306" s="1" t="str">
        <f t="shared" si="8"/>
        <v>30TVN324545: Cilleruelo de Bezana. Hayedo de Carrales, 962 m. 17-4-2014 [JG222]</v>
      </c>
      <c r="I306" s="14" t="s">
        <v>1038</v>
      </c>
      <c r="J306" s="14" t="s">
        <v>1039</v>
      </c>
      <c r="K306" s="14" t="s">
        <v>1040</v>
      </c>
      <c r="L306" s="15"/>
      <c r="M306" s="7" t="str">
        <f t="shared" si="9"/>
        <v>Anemone nemorosa</v>
      </c>
    </row>
    <row r="307" spans="1:13" ht="15.6" x14ac:dyDescent="0.3">
      <c r="A307" s="11" t="s">
        <v>1506</v>
      </c>
      <c r="B307" s="44" t="s">
        <v>99</v>
      </c>
      <c r="C307" s="11" t="s">
        <v>100</v>
      </c>
      <c r="D307" s="12" t="s">
        <v>1041</v>
      </c>
      <c r="E307" s="12" t="s">
        <v>1042</v>
      </c>
      <c r="F307" s="13">
        <v>41781</v>
      </c>
      <c r="G307" s="7" t="s">
        <v>38</v>
      </c>
      <c r="H307" s="1" t="str">
        <f t="shared" si="8"/>
        <v>30TVN315550: Cilleruelo de Bezana. Hayedo de Carrales, 981 m. 22-5-2014 [JG232]</v>
      </c>
      <c r="I307" s="14" t="s">
        <v>1038</v>
      </c>
      <c r="J307" s="14" t="s">
        <v>1039</v>
      </c>
      <c r="K307" s="14" t="s">
        <v>1040</v>
      </c>
      <c r="L307" s="15"/>
      <c r="M307" s="7" t="str">
        <f t="shared" si="9"/>
        <v>Anemone nemorosa</v>
      </c>
    </row>
    <row r="308" spans="1:13" ht="15.6" x14ac:dyDescent="0.3">
      <c r="A308" s="4" t="s">
        <v>1507</v>
      </c>
      <c r="B308" s="44" t="s">
        <v>512</v>
      </c>
      <c r="C308" s="4" t="s">
        <v>513</v>
      </c>
      <c r="D308" s="5" t="s">
        <v>1043</v>
      </c>
      <c r="E308" s="5" t="s">
        <v>1044</v>
      </c>
      <c r="F308" s="6">
        <v>41806</v>
      </c>
      <c r="G308" s="7" t="s">
        <v>32</v>
      </c>
      <c r="H308" s="1" t="str">
        <f t="shared" si="8"/>
        <v>30TVN308588: Cilleruelo de Bezana. Carballeda, 806 m. 16-6-2014 [JG031]</v>
      </c>
      <c r="I308" s="8" t="s">
        <v>1038</v>
      </c>
      <c r="J308" s="8" t="s">
        <v>1045</v>
      </c>
      <c r="K308" s="8" t="s">
        <v>1046</v>
      </c>
      <c r="L308" s="9"/>
      <c r="M308" s="10" t="str">
        <f t="shared" si="9"/>
        <v>Aquilegia vulgaris subsp. vulgaris</v>
      </c>
    </row>
    <row r="309" spans="1:13" ht="15.6" x14ac:dyDescent="0.3">
      <c r="A309" s="11" t="s">
        <v>1507</v>
      </c>
      <c r="B309" s="44" t="s">
        <v>99</v>
      </c>
      <c r="C309" s="11" t="s">
        <v>100</v>
      </c>
      <c r="D309" s="12" t="s">
        <v>1047</v>
      </c>
      <c r="E309" s="12" t="s">
        <v>1048</v>
      </c>
      <c r="F309" s="13">
        <v>41781</v>
      </c>
      <c r="G309" s="7" t="s">
        <v>38</v>
      </c>
      <c r="H309" s="1" t="str">
        <f t="shared" si="8"/>
        <v>30TVN315550: Cilleruelo de Bezana. Hayedo de Carrales, 981 m. 22-5-2014 [JG233]</v>
      </c>
      <c r="I309" s="14" t="s">
        <v>1038</v>
      </c>
      <c r="J309" s="14" t="s">
        <v>1045</v>
      </c>
      <c r="K309" s="14" t="s">
        <v>1046</v>
      </c>
      <c r="L309" s="15"/>
      <c r="M309" s="7" t="str">
        <f t="shared" si="9"/>
        <v>Aquilegia vulgaris subsp. vulgaris</v>
      </c>
    </row>
    <row r="310" spans="1:13" ht="15.6" x14ac:dyDescent="0.3">
      <c r="A310" s="11" t="s">
        <v>1507</v>
      </c>
      <c r="B310" s="44" t="s">
        <v>131</v>
      </c>
      <c r="C310" s="11" t="s">
        <v>132</v>
      </c>
      <c r="D310" s="12" t="s">
        <v>1049</v>
      </c>
      <c r="E310" s="12" t="s">
        <v>1050</v>
      </c>
      <c r="F310" s="13">
        <v>41808</v>
      </c>
      <c r="G310" s="7" t="s">
        <v>134</v>
      </c>
      <c r="H310" s="1" t="str">
        <f t="shared" si="8"/>
        <v>30TVN355608: Castrillo de Bezana. Melojar, 1007 m. 18-6-2014 [JG302]</v>
      </c>
      <c r="I310" s="14" t="s">
        <v>1038</v>
      </c>
      <c r="J310" s="14" t="s">
        <v>1045</v>
      </c>
      <c r="K310" s="14" t="s">
        <v>1046</v>
      </c>
      <c r="L310" s="15"/>
      <c r="M310" s="7" t="str">
        <f t="shared" si="9"/>
        <v>Aquilegia vulgaris subsp. vulgaris</v>
      </c>
    </row>
    <row r="311" spans="1:13" ht="15.6" x14ac:dyDescent="0.3">
      <c r="A311" s="11" t="s">
        <v>1508</v>
      </c>
      <c r="B311" s="44" t="s">
        <v>451</v>
      </c>
      <c r="C311" s="11" t="s">
        <v>452</v>
      </c>
      <c r="D311" s="12" t="s">
        <v>1051</v>
      </c>
      <c r="E311" s="12" t="s">
        <v>1052</v>
      </c>
      <c r="F311" s="13">
        <v>41792</v>
      </c>
      <c r="G311" s="7" t="s">
        <v>46</v>
      </c>
      <c r="H311" s="1" t="str">
        <f t="shared" si="8"/>
        <v>30TVN359563: Torres de Abajo. Hayedo, 887 m. 2-6-2014 [JG258]</v>
      </c>
      <c r="I311" s="14" t="s">
        <v>1038</v>
      </c>
      <c r="J311" s="14" t="s">
        <v>1053</v>
      </c>
      <c r="K311" s="14" t="s">
        <v>1054</v>
      </c>
      <c r="L311" s="7"/>
      <c r="M311" s="7" t="str">
        <f t="shared" si="9"/>
        <v>Helleborus foetidus</v>
      </c>
    </row>
    <row r="312" spans="1:13" ht="15.6" x14ac:dyDescent="0.3">
      <c r="A312" s="11" t="s">
        <v>1509</v>
      </c>
      <c r="B312" s="44" t="s">
        <v>35</v>
      </c>
      <c r="C312" s="11" t="s">
        <v>36</v>
      </c>
      <c r="D312" s="12" t="s">
        <v>1055</v>
      </c>
      <c r="E312" s="12" t="s">
        <v>1056</v>
      </c>
      <c r="F312" s="13">
        <v>41746</v>
      </c>
      <c r="G312" s="7" t="s">
        <v>230</v>
      </c>
      <c r="H312" s="1" t="str">
        <f t="shared" si="8"/>
        <v>30TVN324545: Cilleruelo de Bezana. Hayedo de Carrales, 962 m. 17-4-2014 [JG223]</v>
      </c>
      <c r="I312" s="14" t="s">
        <v>1038</v>
      </c>
      <c r="J312" s="14" t="s">
        <v>1053</v>
      </c>
      <c r="K312" s="14" t="s">
        <v>1057</v>
      </c>
      <c r="L312" s="15"/>
      <c r="M312" s="7" t="str">
        <f t="shared" si="9"/>
        <v>Helleborus viridis subsp. occidentalis</v>
      </c>
    </row>
    <row r="313" spans="1:13" ht="15.6" x14ac:dyDescent="0.3">
      <c r="A313" s="11" t="s">
        <v>1509</v>
      </c>
      <c r="B313" s="44" t="s">
        <v>91</v>
      </c>
      <c r="C313" s="11" t="s">
        <v>92</v>
      </c>
      <c r="D313" s="17" t="s">
        <v>1058</v>
      </c>
      <c r="E313" s="12" t="s">
        <v>1059</v>
      </c>
      <c r="F313" s="13">
        <v>41804</v>
      </c>
      <c r="G313" s="7" t="s">
        <v>94</v>
      </c>
      <c r="H313" s="1" t="str">
        <f t="shared" si="8"/>
        <v>30TVN339539: Cilleruelo de Bezana. Hayedo de Carrales, 986 m. 14-6-2014 [JG242]</v>
      </c>
      <c r="I313" s="14" t="s">
        <v>1038</v>
      </c>
      <c r="J313" s="14" t="s">
        <v>1053</v>
      </c>
      <c r="K313" s="14" t="s">
        <v>1057</v>
      </c>
      <c r="L313" s="16"/>
      <c r="M313" s="7" t="str">
        <f t="shared" si="9"/>
        <v>Helleborus viridis subsp. occidentalis</v>
      </c>
    </row>
    <row r="314" spans="1:13" ht="15.6" x14ac:dyDescent="0.3">
      <c r="A314" s="11" t="s">
        <v>1509</v>
      </c>
      <c r="B314" s="44" t="s">
        <v>43</v>
      </c>
      <c r="C314" s="11" t="s">
        <v>44</v>
      </c>
      <c r="D314" s="12" t="s">
        <v>1060</v>
      </c>
      <c r="E314" s="12" t="s">
        <v>1061</v>
      </c>
      <c r="F314" s="13">
        <v>41781</v>
      </c>
      <c r="G314" s="7" t="s">
        <v>38</v>
      </c>
      <c r="H314" s="1" t="str">
        <f t="shared" si="8"/>
        <v>30TVN387579: San Cibrián. Hayedo, 756 m. 22-5-2014 [JG293]</v>
      </c>
      <c r="I314" s="14" t="s">
        <v>1038</v>
      </c>
      <c r="J314" s="14" t="s">
        <v>1053</v>
      </c>
      <c r="K314" s="14" t="s">
        <v>1057</v>
      </c>
      <c r="L314" s="15"/>
      <c r="M314" s="7" t="str">
        <f t="shared" si="9"/>
        <v>Helleborus viridis subsp. occidentalis</v>
      </c>
    </row>
    <row r="315" spans="1:13" ht="15.6" x14ac:dyDescent="0.3">
      <c r="A315" s="11" t="s">
        <v>1510</v>
      </c>
      <c r="B315" s="44" t="s">
        <v>35</v>
      </c>
      <c r="C315" s="11" t="s">
        <v>36</v>
      </c>
      <c r="D315" s="12" t="s">
        <v>1062</v>
      </c>
      <c r="E315" s="12" t="s">
        <v>1063</v>
      </c>
      <c r="F315" s="13">
        <v>41746</v>
      </c>
      <c r="G315" s="7" t="s">
        <v>230</v>
      </c>
      <c r="H315" s="1" t="str">
        <f t="shared" si="8"/>
        <v>30TVN324545: Cilleruelo de Bezana. Hayedo de Carrales, 962 m. 17-4-2014 [JG224]</v>
      </c>
      <c r="I315" s="14" t="s">
        <v>1038</v>
      </c>
      <c r="J315" s="14" t="s">
        <v>1064</v>
      </c>
      <c r="K315" s="14" t="s">
        <v>1065</v>
      </c>
      <c r="L315" s="15"/>
      <c r="M315" s="7" t="str">
        <f t="shared" si="9"/>
        <v>Hepatica nobilis</v>
      </c>
    </row>
    <row r="316" spans="1:13" ht="15.6" x14ac:dyDescent="0.3">
      <c r="A316" s="4" t="s">
        <v>1511</v>
      </c>
      <c r="B316" s="44" t="s">
        <v>13</v>
      </c>
      <c r="C316" s="5" t="s">
        <v>14</v>
      </c>
      <c r="D316" s="5" t="s">
        <v>1066</v>
      </c>
      <c r="E316" s="5" t="s">
        <v>1067</v>
      </c>
      <c r="F316" s="6">
        <v>41748</v>
      </c>
      <c r="G316" s="7" t="s">
        <v>16</v>
      </c>
      <c r="H316" s="1" t="str">
        <f t="shared" si="8"/>
        <v>30TVN338557: Torres de Abajo. 860 m. 19-4-2014 [JG004]</v>
      </c>
      <c r="I316" s="8" t="s">
        <v>1038</v>
      </c>
      <c r="J316" s="8" t="s">
        <v>1068</v>
      </c>
      <c r="K316" s="8" t="s">
        <v>1069</v>
      </c>
      <c r="L316" s="9"/>
      <c r="M316" s="10" t="str">
        <f t="shared" si="9"/>
        <v>Ranunculus bulbosus subsp. bulbosus</v>
      </c>
    </row>
    <row r="317" spans="1:13" ht="15.6" x14ac:dyDescent="0.3">
      <c r="A317" s="4" t="s">
        <v>1512</v>
      </c>
      <c r="B317" s="44" t="s">
        <v>512</v>
      </c>
      <c r="C317" s="4" t="s">
        <v>513</v>
      </c>
      <c r="D317" s="20" t="s">
        <v>1070</v>
      </c>
      <c r="E317" s="5" t="s">
        <v>1071</v>
      </c>
      <c r="F317" s="6">
        <v>41806</v>
      </c>
      <c r="G317" s="7" t="s">
        <v>32</v>
      </c>
      <c r="H317" s="1" t="str">
        <f t="shared" si="8"/>
        <v>30TVN308588: Cilleruelo de Bezana. Carballeda, 806 m. 16-6-2014 [JG032]</v>
      </c>
      <c r="I317" s="18" t="s">
        <v>1038</v>
      </c>
      <c r="J317" s="18" t="s">
        <v>1068</v>
      </c>
      <c r="K317" s="8" t="s">
        <v>1072</v>
      </c>
      <c r="L317" s="9"/>
      <c r="M317" s="10" t="str">
        <f t="shared" si="9"/>
        <v>Ranunculus tuberosus</v>
      </c>
    </row>
    <row r="318" spans="1:13" ht="15.6" x14ac:dyDescent="0.3">
      <c r="A318" s="11" t="s">
        <v>1512</v>
      </c>
      <c r="B318" s="44" t="s">
        <v>99</v>
      </c>
      <c r="C318" s="11" t="s">
        <v>100</v>
      </c>
      <c r="D318" s="12" t="s">
        <v>1073</v>
      </c>
      <c r="E318" s="12" t="s">
        <v>1074</v>
      </c>
      <c r="F318" s="13">
        <v>41781</v>
      </c>
      <c r="G318" s="7" t="s">
        <v>38</v>
      </c>
      <c r="H318" s="1" t="str">
        <f t="shared" si="8"/>
        <v>30TVN315550: Cilleruelo de Bezana. Hayedo de Carrales, 981 m. 22-5-2014 [JG234]</v>
      </c>
      <c r="I318" s="14" t="s">
        <v>1038</v>
      </c>
      <c r="J318" s="14" t="s">
        <v>1068</v>
      </c>
      <c r="K318" s="14" t="s">
        <v>1072</v>
      </c>
      <c r="L318" s="36"/>
      <c r="M318" s="7" t="str">
        <f t="shared" si="9"/>
        <v>Ranunculus tuberosus</v>
      </c>
    </row>
    <row r="319" spans="1:13" ht="15.6" x14ac:dyDescent="0.3">
      <c r="A319" s="11" t="s">
        <v>1512</v>
      </c>
      <c r="B319" s="44" t="s">
        <v>573</v>
      </c>
      <c r="C319" s="11" t="s">
        <v>574</v>
      </c>
      <c r="D319" s="12" t="s">
        <v>1075</v>
      </c>
      <c r="E319" s="12" t="s">
        <v>1076</v>
      </c>
      <c r="F319" s="13">
        <v>41804</v>
      </c>
      <c r="G319" s="7" t="s">
        <v>94</v>
      </c>
      <c r="H319" s="1" t="str">
        <f t="shared" si="8"/>
        <v>30TVN332537: Cilleruelo de Bezana. Hayedo de Carrales, 996 m. 14-6-2014 [JG249]</v>
      </c>
      <c r="I319" s="14" t="s">
        <v>1038</v>
      </c>
      <c r="J319" s="14" t="s">
        <v>1068</v>
      </c>
      <c r="K319" s="14" t="s">
        <v>1072</v>
      </c>
      <c r="L319" s="15"/>
      <c r="M319" s="7" t="str">
        <f t="shared" si="9"/>
        <v>Ranunculus tuberosus</v>
      </c>
    </row>
    <row r="320" spans="1:13" ht="15.6" x14ac:dyDescent="0.3">
      <c r="A320" s="11" t="s">
        <v>1512</v>
      </c>
      <c r="B320" s="44" t="s">
        <v>131</v>
      </c>
      <c r="C320" s="11" t="s">
        <v>132</v>
      </c>
      <c r="D320" s="12" t="s">
        <v>1077</v>
      </c>
      <c r="E320" s="12" t="s">
        <v>1078</v>
      </c>
      <c r="F320" s="13">
        <v>41808</v>
      </c>
      <c r="G320" s="7" t="s">
        <v>134</v>
      </c>
      <c r="H320" s="1" t="str">
        <f t="shared" si="8"/>
        <v>30TVN355608: Castrillo de Bezana. Melojar, 1007 m. 18-6-2014 [JG303]</v>
      </c>
      <c r="I320" s="14" t="s">
        <v>1038</v>
      </c>
      <c r="J320" s="14" t="s">
        <v>1068</v>
      </c>
      <c r="K320" s="14" t="s">
        <v>1072</v>
      </c>
      <c r="L320" s="15"/>
      <c r="M320" s="7" t="str">
        <f t="shared" si="9"/>
        <v>Ranunculus tuberosus</v>
      </c>
    </row>
    <row r="321" spans="1:13" ht="15.6" x14ac:dyDescent="0.3">
      <c r="A321" s="11" t="s">
        <v>1512</v>
      </c>
      <c r="B321" s="44" t="s">
        <v>187</v>
      </c>
      <c r="C321" s="11" t="s">
        <v>188</v>
      </c>
      <c r="D321" s="12" t="s">
        <v>1079</v>
      </c>
      <c r="E321" s="12" t="s">
        <v>1080</v>
      </c>
      <c r="F321" s="13">
        <v>41807</v>
      </c>
      <c r="G321" s="7" t="s">
        <v>190</v>
      </c>
      <c r="H321" s="1" t="str">
        <f t="shared" si="8"/>
        <v>30TVN366512: Munilla. Melojar, 764 m. 17-6-2014 [JG328]</v>
      </c>
      <c r="I321" s="14" t="s">
        <v>1038</v>
      </c>
      <c r="J321" s="14" t="s">
        <v>1068</v>
      </c>
      <c r="K321" s="14" t="s">
        <v>1072</v>
      </c>
      <c r="L321" s="15"/>
      <c r="M321" s="7" t="str">
        <f t="shared" si="9"/>
        <v>Ranunculus tuberosus</v>
      </c>
    </row>
    <row r="322" spans="1:13" ht="15.6" x14ac:dyDescent="0.3">
      <c r="A322" s="11" t="s">
        <v>1513</v>
      </c>
      <c r="B322" s="44" t="s">
        <v>68</v>
      </c>
      <c r="C322" s="11" t="s">
        <v>69</v>
      </c>
      <c r="D322" s="12" t="s">
        <v>1081</v>
      </c>
      <c r="E322" s="12" t="s">
        <v>1082</v>
      </c>
      <c r="F322" s="13">
        <v>41784</v>
      </c>
      <c r="G322" s="7" t="s">
        <v>213</v>
      </c>
      <c r="H322" s="1" t="str">
        <f t="shared" ref="H322:H385" si="10">CONCATENATE(B322, ": ", C322, " ", G322, " ", "[", E322, "]")</f>
        <v>30TVN373545: Hoz de Arreba. Encinar, 829 m. 25-5-2014 [JG132]</v>
      </c>
      <c r="I322" s="14" t="s">
        <v>1038</v>
      </c>
      <c r="J322" s="14" t="s">
        <v>1083</v>
      </c>
      <c r="K322" s="14" t="s">
        <v>1084</v>
      </c>
      <c r="L322" s="15"/>
      <c r="M322" s="7" t="str">
        <f t="shared" ref="M322:M385" si="11">CONCATENATE(J322," ",K322)</f>
        <v>Thalictrum tuberosum</v>
      </c>
    </row>
    <row r="323" spans="1:13" ht="15.6" x14ac:dyDescent="0.3">
      <c r="A323" s="11" t="s">
        <v>1514</v>
      </c>
      <c r="B323" s="44" t="s">
        <v>131</v>
      </c>
      <c r="C323" s="11" t="s">
        <v>132</v>
      </c>
      <c r="D323" s="11" t="s">
        <v>1085</v>
      </c>
      <c r="E323" s="12" t="s">
        <v>1086</v>
      </c>
      <c r="F323" s="13">
        <v>41808</v>
      </c>
      <c r="G323" s="7" t="s">
        <v>134</v>
      </c>
      <c r="H323" s="1" t="str">
        <f t="shared" si="10"/>
        <v>30TVN355608: Castrillo de Bezana. Melojar, 1007 m. 18-6-2014 [JG304]</v>
      </c>
      <c r="I323" s="14" t="s">
        <v>1087</v>
      </c>
      <c r="J323" s="14" t="s">
        <v>1088</v>
      </c>
      <c r="K323" s="14" t="s">
        <v>1089</v>
      </c>
      <c r="L323" s="15"/>
      <c r="M323" s="7" t="str">
        <f t="shared" si="11"/>
        <v>Frangula alnus subsp. alnus</v>
      </c>
    </row>
    <row r="324" spans="1:13" ht="15.6" x14ac:dyDescent="0.3">
      <c r="A324" s="11" t="s">
        <v>1514</v>
      </c>
      <c r="B324" s="44" t="s">
        <v>236</v>
      </c>
      <c r="C324" s="11" t="s">
        <v>237</v>
      </c>
      <c r="D324" s="17" t="s">
        <v>1090</v>
      </c>
      <c r="E324" s="12" t="s">
        <v>1091</v>
      </c>
      <c r="F324" s="13">
        <v>41782</v>
      </c>
      <c r="G324" s="7" t="s">
        <v>239</v>
      </c>
      <c r="H324" s="1" t="str">
        <f t="shared" si="10"/>
        <v>30TVN306592: Cilleruelo de Bezana. Carballeda, 889 m. 23-5-2014 [JG411]</v>
      </c>
      <c r="I324" s="14" t="s">
        <v>1087</v>
      </c>
      <c r="J324" s="14" t="s">
        <v>1088</v>
      </c>
      <c r="K324" s="14" t="s">
        <v>1089</v>
      </c>
      <c r="L324" s="15"/>
      <c r="M324" s="7" t="str">
        <f t="shared" si="11"/>
        <v>Frangula alnus subsp. alnus</v>
      </c>
    </row>
    <row r="325" spans="1:13" ht="15.6" x14ac:dyDescent="0.3">
      <c r="A325" s="11" t="s">
        <v>1515</v>
      </c>
      <c r="B325" s="44" t="s">
        <v>68</v>
      </c>
      <c r="C325" s="11" t="s">
        <v>69</v>
      </c>
      <c r="D325" s="12" t="s">
        <v>1092</v>
      </c>
      <c r="E325" s="12" t="s">
        <v>1093</v>
      </c>
      <c r="F325" s="13">
        <v>41784</v>
      </c>
      <c r="G325" s="7" t="s">
        <v>213</v>
      </c>
      <c r="H325" s="1" t="str">
        <f t="shared" si="10"/>
        <v>30TVN373545: Hoz de Arreba. Encinar, 829 m. 25-5-2014 [JG133]</v>
      </c>
      <c r="I325" s="14" t="s">
        <v>1087</v>
      </c>
      <c r="J325" s="14" t="s">
        <v>1094</v>
      </c>
      <c r="K325" s="14" t="s">
        <v>1095</v>
      </c>
      <c r="L325" s="15"/>
      <c r="M325" s="7" t="str">
        <f t="shared" si="11"/>
        <v>Rhamnus alaternus subsp. alaternus</v>
      </c>
    </row>
    <row r="326" spans="1:13" ht="15.6" x14ac:dyDescent="0.3">
      <c r="A326" s="11" t="s">
        <v>1515</v>
      </c>
      <c r="B326" s="44" t="s">
        <v>172</v>
      </c>
      <c r="C326" s="11" t="s">
        <v>173</v>
      </c>
      <c r="D326" s="21" t="s">
        <v>1096</v>
      </c>
      <c r="E326" s="12" t="s">
        <v>1097</v>
      </c>
      <c r="F326" s="13">
        <v>41798</v>
      </c>
      <c r="G326" s="7" t="s">
        <v>86</v>
      </c>
      <c r="H326" s="1" t="str">
        <f t="shared" si="10"/>
        <v>30TVN365521: Munilla. Quejigar, 944 m. 8-6-2014 [JG386]</v>
      </c>
      <c r="I326" s="14" t="s">
        <v>1087</v>
      </c>
      <c r="J326" s="14" t="s">
        <v>1094</v>
      </c>
      <c r="K326" s="14" t="s">
        <v>1095</v>
      </c>
      <c r="L326" s="15"/>
      <c r="M326" s="7" t="str">
        <f t="shared" si="11"/>
        <v>Rhamnus alaternus subsp. alaternus</v>
      </c>
    </row>
    <row r="327" spans="1:13" ht="15.6" x14ac:dyDescent="0.3">
      <c r="A327" s="11" t="s">
        <v>1516</v>
      </c>
      <c r="B327" s="44" t="s">
        <v>68</v>
      </c>
      <c r="C327" s="11" t="s">
        <v>69</v>
      </c>
      <c r="D327" s="12" t="s">
        <v>1098</v>
      </c>
      <c r="E327" s="12" t="s">
        <v>1099</v>
      </c>
      <c r="F327" s="13">
        <v>41783</v>
      </c>
      <c r="G327" s="7" t="s">
        <v>121</v>
      </c>
      <c r="H327" s="1" t="str">
        <f t="shared" si="10"/>
        <v>30TVN373545: Hoz de Arreba. Encinar, 829 m. 24-5-2014 [JG134]</v>
      </c>
      <c r="I327" s="14" t="s">
        <v>1100</v>
      </c>
      <c r="J327" s="14" t="s">
        <v>1101</v>
      </c>
      <c r="K327" s="14" t="s">
        <v>1102</v>
      </c>
      <c r="L327" s="15"/>
      <c r="M327" s="7" t="str">
        <f t="shared" si="11"/>
        <v>Amelanchier ovalis</v>
      </c>
    </row>
    <row r="328" spans="1:13" ht="15.6" x14ac:dyDescent="0.3">
      <c r="A328" s="11" t="s">
        <v>1517</v>
      </c>
      <c r="B328" s="44" t="s">
        <v>91</v>
      </c>
      <c r="C328" s="11" t="s">
        <v>92</v>
      </c>
      <c r="D328" s="12" t="s">
        <v>1103</v>
      </c>
      <c r="E328" s="12" t="s">
        <v>1104</v>
      </c>
      <c r="F328" s="13">
        <v>41804</v>
      </c>
      <c r="G328" s="7" t="s">
        <v>94</v>
      </c>
      <c r="H328" s="1" t="str">
        <f t="shared" si="10"/>
        <v>30TVN339539: Cilleruelo de Bezana. Hayedo de Carrales, 986 m. 14-6-2014 [JG243]</v>
      </c>
      <c r="I328" s="14" t="s">
        <v>1100</v>
      </c>
      <c r="J328" s="14" t="s">
        <v>1105</v>
      </c>
      <c r="K328" s="14" t="s">
        <v>1106</v>
      </c>
      <c r="L328" s="15"/>
      <c r="M328" s="7" t="str">
        <f t="shared" si="11"/>
        <v>Crataegus monogyna</v>
      </c>
    </row>
    <row r="329" spans="1:13" ht="15.6" x14ac:dyDescent="0.3">
      <c r="A329" s="11" t="s">
        <v>1518</v>
      </c>
      <c r="B329" s="44" t="s">
        <v>301</v>
      </c>
      <c r="C329" s="11" t="s">
        <v>302</v>
      </c>
      <c r="D329" s="12" t="s">
        <v>1107</v>
      </c>
      <c r="E329" s="12" t="s">
        <v>1108</v>
      </c>
      <c r="F329" s="13">
        <v>41798</v>
      </c>
      <c r="G329" s="7" t="s">
        <v>86</v>
      </c>
      <c r="H329" s="1" t="str">
        <f t="shared" si="10"/>
        <v>30TVN365530: Hoz de Arreba. Encinar, 883 m. 8-6-2014 [JG183]</v>
      </c>
      <c r="I329" s="14" t="s">
        <v>1100</v>
      </c>
      <c r="J329" s="14" t="s">
        <v>1109</v>
      </c>
      <c r="K329" s="14" t="s">
        <v>504</v>
      </c>
      <c r="L329" s="15"/>
      <c r="M329" s="7" t="str">
        <f t="shared" si="11"/>
        <v>Filipendula vulgaris</v>
      </c>
    </row>
    <row r="330" spans="1:13" ht="15.6" x14ac:dyDescent="0.3">
      <c r="A330" s="11" t="s">
        <v>1519</v>
      </c>
      <c r="B330" s="44" t="s">
        <v>391</v>
      </c>
      <c r="C330" s="11" t="s">
        <v>392</v>
      </c>
      <c r="D330" s="12" t="s">
        <v>1110</v>
      </c>
      <c r="E330" s="12" t="s">
        <v>1111</v>
      </c>
      <c r="F330" s="13">
        <v>41793</v>
      </c>
      <c r="G330" s="7" t="s">
        <v>195</v>
      </c>
      <c r="H330" s="1" t="str">
        <f t="shared" si="10"/>
        <v>30TVN332571: Montoto. Hayedo, 905 m. 3-6-2014 [JG265]</v>
      </c>
      <c r="I330" s="14" t="s">
        <v>1100</v>
      </c>
      <c r="J330" s="14" t="s">
        <v>1112</v>
      </c>
      <c r="K330" s="14" t="s">
        <v>1113</v>
      </c>
      <c r="L330" s="15"/>
      <c r="M330" s="7" t="str">
        <f t="shared" si="11"/>
        <v>Geum hispidum</v>
      </c>
    </row>
    <row r="331" spans="1:13" ht="15.6" x14ac:dyDescent="0.3">
      <c r="A331" s="4" t="s">
        <v>1520</v>
      </c>
      <c r="B331" s="44" t="s">
        <v>21</v>
      </c>
      <c r="C331" s="4" t="s">
        <v>22</v>
      </c>
      <c r="D331" s="5" t="s">
        <v>1114</v>
      </c>
      <c r="E331" s="5" t="s">
        <v>1115</v>
      </c>
      <c r="F331" s="6">
        <v>41799</v>
      </c>
      <c r="G331" s="7" t="s">
        <v>24</v>
      </c>
      <c r="H331" s="1" t="str">
        <f t="shared" si="10"/>
        <v>30TVN383582: San Cibrián. Hayedo, 750 m. 9-6-2014 [JG279]</v>
      </c>
      <c r="I331" s="8" t="s">
        <v>1100</v>
      </c>
      <c r="J331" s="8" t="s">
        <v>1112</v>
      </c>
      <c r="K331" s="8" t="s">
        <v>1116</v>
      </c>
      <c r="L331" s="9"/>
      <c r="M331" s="10" t="str">
        <f t="shared" si="11"/>
        <v>Geum pyrenaicum</v>
      </c>
    </row>
    <row r="332" spans="1:13" ht="15.6" x14ac:dyDescent="0.3">
      <c r="A332" s="4" t="s">
        <v>1521</v>
      </c>
      <c r="B332" s="44" t="s">
        <v>512</v>
      </c>
      <c r="C332" s="4" t="s">
        <v>513</v>
      </c>
      <c r="D332" s="23" t="s">
        <v>1117</v>
      </c>
      <c r="E332" s="5" t="s">
        <v>1118</v>
      </c>
      <c r="F332" s="6">
        <v>41806</v>
      </c>
      <c r="G332" s="7" t="s">
        <v>32</v>
      </c>
      <c r="H332" s="1" t="str">
        <f t="shared" si="10"/>
        <v>30TVN308588: Cilleruelo de Bezana. Carballeda, 806 m. 16-6-2014 [JG033]</v>
      </c>
      <c r="I332" s="18" t="s">
        <v>1100</v>
      </c>
      <c r="J332" s="18" t="s">
        <v>1119</v>
      </c>
      <c r="K332" s="8" t="s">
        <v>1120</v>
      </c>
      <c r="L332" s="9"/>
      <c r="M332" s="10" t="str">
        <f t="shared" si="11"/>
        <v>Potentilla erecta</v>
      </c>
    </row>
    <row r="333" spans="1:13" ht="15.6" x14ac:dyDescent="0.3">
      <c r="A333" s="11" t="s">
        <v>1521</v>
      </c>
      <c r="B333" s="44" t="s">
        <v>187</v>
      </c>
      <c r="C333" s="11" t="s">
        <v>188</v>
      </c>
      <c r="D333" s="17" t="s">
        <v>1121</v>
      </c>
      <c r="E333" s="12" t="s">
        <v>1122</v>
      </c>
      <c r="F333" s="13">
        <v>41807</v>
      </c>
      <c r="G333" s="7" t="s">
        <v>190</v>
      </c>
      <c r="H333" s="1" t="str">
        <f t="shared" si="10"/>
        <v>30TVN366512: Munilla. Melojar, 764 m. 17-6-2014 [JG329]</v>
      </c>
      <c r="I333" s="14" t="s">
        <v>1100</v>
      </c>
      <c r="J333" s="14" t="s">
        <v>1119</v>
      </c>
      <c r="K333" s="14" t="s">
        <v>1120</v>
      </c>
      <c r="L333" s="16"/>
      <c r="M333" s="7" t="str">
        <f t="shared" si="11"/>
        <v>Potentilla erecta</v>
      </c>
    </row>
    <row r="334" spans="1:13" ht="15.6" x14ac:dyDescent="0.3">
      <c r="A334" s="11" t="s">
        <v>1521</v>
      </c>
      <c r="B334" s="44" t="s">
        <v>527</v>
      </c>
      <c r="C334" s="11" t="s">
        <v>528</v>
      </c>
      <c r="D334" s="12" t="s">
        <v>1123</v>
      </c>
      <c r="E334" s="12" t="s">
        <v>1124</v>
      </c>
      <c r="F334" s="13">
        <v>41793</v>
      </c>
      <c r="G334" s="7" t="s">
        <v>195</v>
      </c>
      <c r="H334" s="1" t="str">
        <f t="shared" si="10"/>
        <v>30TVN326593: Virtus. Melojar, 911 m. 3-6-2014 [JG353]</v>
      </c>
      <c r="I334" s="19" t="s">
        <v>1100</v>
      </c>
      <c r="J334" s="19" t="s">
        <v>1119</v>
      </c>
      <c r="K334" s="14" t="s">
        <v>1120</v>
      </c>
      <c r="L334" s="15"/>
      <c r="M334" s="7" t="str">
        <f t="shared" si="11"/>
        <v>Potentilla erecta</v>
      </c>
    </row>
    <row r="335" spans="1:13" ht="15.6" x14ac:dyDescent="0.3">
      <c r="A335" s="4" t="s">
        <v>1522</v>
      </c>
      <c r="B335" s="44" t="s">
        <v>13</v>
      </c>
      <c r="C335" s="5" t="s">
        <v>14</v>
      </c>
      <c r="D335" s="5" t="s">
        <v>1125</v>
      </c>
      <c r="E335" s="5" t="s">
        <v>1126</v>
      </c>
      <c r="F335" s="6">
        <v>41748</v>
      </c>
      <c r="G335" s="7" t="s">
        <v>16</v>
      </c>
      <c r="H335" s="1" t="str">
        <f t="shared" si="10"/>
        <v>30TVN338557: Torres de Abajo. 860 m. 19-4-2014 [JG005]</v>
      </c>
      <c r="I335" s="8" t="s">
        <v>1100</v>
      </c>
      <c r="J335" s="8" t="s">
        <v>1119</v>
      </c>
      <c r="K335" s="8" t="s">
        <v>146</v>
      </c>
      <c r="L335" s="9"/>
      <c r="M335" s="10" t="str">
        <f t="shared" si="11"/>
        <v>Potentilla montana</v>
      </c>
    </row>
    <row r="336" spans="1:13" ht="15.6" x14ac:dyDescent="0.3">
      <c r="A336" s="11" t="s">
        <v>1522</v>
      </c>
      <c r="B336" s="44" t="s">
        <v>73</v>
      </c>
      <c r="C336" s="11" t="s">
        <v>74</v>
      </c>
      <c r="D336" s="21" t="s">
        <v>1127</v>
      </c>
      <c r="E336" s="12" t="s">
        <v>1128</v>
      </c>
      <c r="F336" s="13">
        <v>41805</v>
      </c>
      <c r="G336" s="7" t="s">
        <v>66</v>
      </c>
      <c r="H336" s="1" t="str">
        <f t="shared" si="10"/>
        <v>30TVN407532: Cubillos del Rojo. Quejigar, 894 m. 15-6-2014 [JG087]</v>
      </c>
      <c r="I336" s="14" t="s">
        <v>1100</v>
      </c>
      <c r="J336" s="14" t="s">
        <v>1119</v>
      </c>
      <c r="K336" s="14" t="s">
        <v>146</v>
      </c>
      <c r="L336" s="15"/>
      <c r="M336" s="7" t="str">
        <f t="shared" si="11"/>
        <v>Potentilla montana</v>
      </c>
    </row>
    <row r="337" spans="1:13" ht="15.6" x14ac:dyDescent="0.3">
      <c r="A337" s="4" t="s">
        <v>1522</v>
      </c>
      <c r="B337" s="44" t="s">
        <v>223</v>
      </c>
      <c r="C337" s="4" t="s">
        <v>224</v>
      </c>
      <c r="D337" s="5" t="s">
        <v>1129</v>
      </c>
      <c r="E337" s="5" t="s">
        <v>1130</v>
      </c>
      <c r="F337" s="6">
        <v>41804</v>
      </c>
      <c r="G337" s="7" t="s">
        <v>94</v>
      </c>
      <c r="H337" s="1" t="str">
        <f t="shared" si="10"/>
        <v>30TVN287569: Cilleruelo de Bezana. Hayedo de Carrales. 14-6-2014 [JG210]</v>
      </c>
      <c r="I337" s="8" t="s">
        <v>1100</v>
      </c>
      <c r="J337" s="8" t="s">
        <v>1119</v>
      </c>
      <c r="K337" s="8" t="s">
        <v>146</v>
      </c>
      <c r="L337" s="9"/>
      <c r="M337" s="10" t="str">
        <f t="shared" si="11"/>
        <v>Potentilla montana</v>
      </c>
    </row>
    <row r="338" spans="1:13" ht="15.6" x14ac:dyDescent="0.3">
      <c r="A338" s="11" t="s">
        <v>1522</v>
      </c>
      <c r="B338" s="44" t="s">
        <v>384</v>
      </c>
      <c r="C338" s="11" t="s">
        <v>385</v>
      </c>
      <c r="D338" s="17" t="s">
        <v>1131</v>
      </c>
      <c r="E338" s="12" t="s">
        <v>1132</v>
      </c>
      <c r="F338" s="13">
        <v>41796</v>
      </c>
      <c r="G338" s="7" t="s">
        <v>144</v>
      </c>
      <c r="H338" s="1" t="str">
        <f t="shared" si="10"/>
        <v>30TVN356517: Munilla. Quejigar, 905 m. 6-6-2014 [JG364]</v>
      </c>
      <c r="I338" s="14" t="s">
        <v>1100</v>
      </c>
      <c r="J338" s="14" t="s">
        <v>1119</v>
      </c>
      <c r="K338" s="14" t="s">
        <v>146</v>
      </c>
      <c r="L338" s="15"/>
      <c r="M338" s="7" t="str">
        <f t="shared" si="11"/>
        <v>Potentilla montana</v>
      </c>
    </row>
    <row r="339" spans="1:13" ht="15.6" x14ac:dyDescent="0.3">
      <c r="A339" s="11" t="s">
        <v>1522</v>
      </c>
      <c r="B339" s="44" t="s">
        <v>172</v>
      </c>
      <c r="C339" s="11" t="s">
        <v>173</v>
      </c>
      <c r="D339" s="12" t="s">
        <v>1133</v>
      </c>
      <c r="E339" s="12" t="s">
        <v>1134</v>
      </c>
      <c r="F339" s="13">
        <v>41798</v>
      </c>
      <c r="G339" s="7" t="s">
        <v>86</v>
      </c>
      <c r="H339" s="1" t="str">
        <f t="shared" si="10"/>
        <v>30TVN365521: Munilla. Quejigar, 944 m. 8-6-2014 [JG387]</v>
      </c>
      <c r="I339" s="14" t="s">
        <v>1100</v>
      </c>
      <c r="J339" s="14" t="s">
        <v>1119</v>
      </c>
      <c r="K339" s="14" t="s">
        <v>146</v>
      </c>
      <c r="L339" s="15"/>
      <c r="M339" s="7" t="str">
        <f t="shared" si="11"/>
        <v>Potentilla montana</v>
      </c>
    </row>
    <row r="340" spans="1:13" ht="15.6" x14ac:dyDescent="0.3">
      <c r="A340" s="11" t="s">
        <v>1523</v>
      </c>
      <c r="B340" s="44" t="s">
        <v>200</v>
      </c>
      <c r="C340" s="11" t="s">
        <v>201</v>
      </c>
      <c r="D340" s="17" t="s">
        <v>1135</v>
      </c>
      <c r="E340" s="12" t="s">
        <v>1136</v>
      </c>
      <c r="F340" s="13">
        <v>41800</v>
      </c>
      <c r="G340" s="7" t="s">
        <v>198</v>
      </c>
      <c r="H340" s="1" t="str">
        <f t="shared" si="10"/>
        <v>30TVN315593: Cilleruelo de Bezana. Carballeda, 910 m. 10-6-2014 [JG422]</v>
      </c>
      <c r="I340" s="14" t="s">
        <v>1100</v>
      </c>
      <c r="J340" s="14" t="s">
        <v>1137</v>
      </c>
      <c r="K340" s="14" t="s">
        <v>1138</v>
      </c>
      <c r="L340" s="15"/>
      <c r="M340" s="7" t="str">
        <f t="shared" si="11"/>
        <v>Pyrus cordata</v>
      </c>
    </row>
    <row r="341" spans="1:13" ht="15.6" x14ac:dyDescent="0.3">
      <c r="A341" s="4" t="s">
        <v>1524</v>
      </c>
      <c r="B341" s="44" t="s">
        <v>29</v>
      </c>
      <c r="C341" s="5" t="s">
        <v>30</v>
      </c>
      <c r="D341" s="5" t="s">
        <v>1139</v>
      </c>
      <c r="E341" s="5" t="s">
        <v>1140</v>
      </c>
      <c r="F341" s="6">
        <v>41806</v>
      </c>
      <c r="G341" s="7" t="s">
        <v>32</v>
      </c>
      <c r="H341" s="1" t="str">
        <f t="shared" si="10"/>
        <v>30TVN369591: Argomedo. Melojar, 900 m. 16-6-2014 [JG022]</v>
      </c>
      <c r="I341" s="8" t="s">
        <v>1100</v>
      </c>
      <c r="J341" s="8" t="s">
        <v>1141</v>
      </c>
      <c r="K341" s="8" t="s">
        <v>1142</v>
      </c>
      <c r="L341" s="9"/>
      <c r="M341" s="10" t="str">
        <f t="shared" si="11"/>
        <v>Rosa pendulina</v>
      </c>
    </row>
    <row r="342" spans="1:13" ht="15.6" x14ac:dyDescent="0.3">
      <c r="A342" s="11" t="s">
        <v>1524</v>
      </c>
      <c r="B342" s="44" t="s">
        <v>68</v>
      </c>
      <c r="C342" s="11" t="s">
        <v>69</v>
      </c>
      <c r="D342" s="12" t="s">
        <v>1143</v>
      </c>
      <c r="E342" s="12" t="s">
        <v>1144</v>
      </c>
      <c r="F342" s="13">
        <v>41784</v>
      </c>
      <c r="G342" s="7" t="s">
        <v>213</v>
      </c>
      <c r="H342" s="1" t="str">
        <f t="shared" si="10"/>
        <v>30TVN373545: Hoz de Arreba. Encinar, 829 m. 25-5-2014 [JG135]</v>
      </c>
      <c r="I342" s="14" t="s">
        <v>1100</v>
      </c>
      <c r="J342" s="14" t="s">
        <v>1141</v>
      </c>
      <c r="K342" s="14" t="s">
        <v>1142</v>
      </c>
      <c r="L342" s="15"/>
      <c r="M342" s="7" t="str">
        <f t="shared" si="11"/>
        <v>Rosa pendulina</v>
      </c>
    </row>
    <row r="343" spans="1:13" ht="15.6" x14ac:dyDescent="0.3">
      <c r="A343" s="4" t="s">
        <v>1525</v>
      </c>
      <c r="B343" s="44" t="s">
        <v>55</v>
      </c>
      <c r="C343" s="11" t="s">
        <v>56</v>
      </c>
      <c r="D343" s="5" t="s">
        <v>1145</v>
      </c>
      <c r="E343" s="5" t="s">
        <v>1146</v>
      </c>
      <c r="F343" s="6">
        <v>41798</v>
      </c>
      <c r="G343" s="7" t="s">
        <v>86</v>
      </c>
      <c r="H343" s="1" t="str">
        <f t="shared" si="10"/>
        <v>30TVN364557: Torres de Abajo. Encinar, 855 m. 8-6-2014 [JG038]</v>
      </c>
      <c r="I343" s="8" t="s">
        <v>1100</v>
      </c>
      <c r="J343" s="8" t="s">
        <v>1141</v>
      </c>
      <c r="K343" s="8" t="s">
        <v>1147</v>
      </c>
      <c r="L343" s="9"/>
      <c r="M343" s="10" t="str">
        <f t="shared" si="11"/>
        <v>Rosa pimpinellifolia</v>
      </c>
    </row>
    <row r="344" spans="1:13" ht="15.6" x14ac:dyDescent="0.3">
      <c r="A344" s="4" t="s">
        <v>1526</v>
      </c>
      <c r="B344" s="44" t="s">
        <v>118</v>
      </c>
      <c r="C344" s="4" t="s">
        <v>119</v>
      </c>
      <c r="D344" s="5" t="s">
        <v>1148</v>
      </c>
      <c r="E344" s="5" t="s">
        <v>1149</v>
      </c>
      <c r="F344" s="6">
        <v>41800</v>
      </c>
      <c r="G344" s="7" t="s">
        <v>198</v>
      </c>
      <c r="H344" s="1" t="str">
        <f t="shared" si="10"/>
        <v>30TVN303593: Cilleruelo de Bezana. Carballeda, 819 m. 10-6-2014 [JG405]</v>
      </c>
      <c r="I344" s="8" t="s">
        <v>1100</v>
      </c>
      <c r="J344" s="8" t="s">
        <v>1150</v>
      </c>
      <c r="K344" s="8" t="s">
        <v>1151</v>
      </c>
      <c r="L344" s="9"/>
      <c r="M344" s="10" t="str">
        <f t="shared" si="11"/>
        <v>Rubus caesius</v>
      </c>
    </row>
    <row r="345" spans="1:13" ht="15.6" x14ac:dyDescent="0.3">
      <c r="A345" s="4" t="s">
        <v>1527</v>
      </c>
      <c r="B345" s="44" t="s">
        <v>512</v>
      </c>
      <c r="C345" s="4" t="s">
        <v>513</v>
      </c>
      <c r="D345" s="5" t="s">
        <v>1152</v>
      </c>
      <c r="E345" s="5" t="s">
        <v>1153</v>
      </c>
      <c r="F345" s="6">
        <v>41806</v>
      </c>
      <c r="G345" s="7" t="s">
        <v>32</v>
      </c>
      <c r="H345" s="1" t="str">
        <f t="shared" si="10"/>
        <v>30TVN308588: Cilleruelo de Bezana. Carballeda, 806 m. 16-6-2014 [JG034]</v>
      </c>
      <c r="I345" s="8" t="s">
        <v>1100</v>
      </c>
      <c r="J345" s="8" t="s">
        <v>1150</v>
      </c>
      <c r="K345" s="8" t="s">
        <v>1154</v>
      </c>
      <c r="L345" s="9"/>
      <c r="M345" s="10" t="str">
        <f t="shared" si="11"/>
        <v>Rubus canescens</v>
      </c>
    </row>
    <row r="346" spans="1:13" ht="15.6" x14ac:dyDescent="0.3">
      <c r="A346" s="11" t="s">
        <v>1528</v>
      </c>
      <c r="B346" s="44" t="s">
        <v>236</v>
      </c>
      <c r="C346" s="11" t="s">
        <v>237</v>
      </c>
      <c r="D346" s="12" t="s">
        <v>1155</v>
      </c>
      <c r="E346" s="12" t="s">
        <v>1156</v>
      </c>
      <c r="F346" s="13">
        <v>41782</v>
      </c>
      <c r="G346" s="7" t="s">
        <v>239</v>
      </c>
      <c r="H346" s="1" t="str">
        <f t="shared" si="10"/>
        <v>30TVN306592: Cilleruelo de Bezana. Carballeda, 889 m. 23-5-2014 [JG412]</v>
      </c>
      <c r="I346" s="14" t="s">
        <v>1100</v>
      </c>
      <c r="J346" s="14" t="s">
        <v>1157</v>
      </c>
      <c r="K346" s="14" t="s">
        <v>1158</v>
      </c>
      <c r="L346" s="15"/>
      <c r="M346" s="7" t="str">
        <f t="shared" si="11"/>
        <v>Sorbus  aria</v>
      </c>
    </row>
    <row r="347" spans="1:13" ht="15.6" x14ac:dyDescent="0.3">
      <c r="A347" s="11" t="s">
        <v>1528</v>
      </c>
      <c r="B347" s="44" t="s">
        <v>466</v>
      </c>
      <c r="C347" s="11" t="s">
        <v>467</v>
      </c>
      <c r="D347" s="12" t="s">
        <v>1159</v>
      </c>
      <c r="E347" s="12" t="s">
        <v>1160</v>
      </c>
      <c r="F347" s="13">
        <v>41783</v>
      </c>
      <c r="G347" s="7" t="s">
        <v>121</v>
      </c>
      <c r="H347" s="1" t="str">
        <f t="shared" si="10"/>
        <v>30TVN308598: Cilleruelo de Bezana. Carballeda, 927 m. 24-5-2014 [JG416]</v>
      </c>
      <c r="I347" s="14" t="s">
        <v>1100</v>
      </c>
      <c r="J347" s="14" t="s">
        <v>1157</v>
      </c>
      <c r="K347" s="14" t="s">
        <v>1158</v>
      </c>
      <c r="L347" s="15"/>
      <c r="M347" s="7" t="str">
        <f t="shared" si="11"/>
        <v>Sorbus  aria</v>
      </c>
    </row>
    <row r="348" spans="1:13" ht="15.6" x14ac:dyDescent="0.3">
      <c r="A348" s="4" t="s">
        <v>1529</v>
      </c>
      <c r="B348" s="44" t="s">
        <v>118</v>
      </c>
      <c r="C348" s="4" t="s">
        <v>119</v>
      </c>
      <c r="D348" s="5" t="s">
        <v>1161</v>
      </c>
      <c r="E348" s="5" t="s">
        <v>1162</v>
      </c>
      <c r="F348" s="6">
        <v>41800</v>
      </c>
      <c r="G348" s="7" t="s">
        <v>198</v>
      </c>
      <c r="H348" s="1" t="str">
        <f t="shared" si="10"/>
        <v>30TVN303593: Cilleruelo de Bezana. Carballeda, 819 m. 10-6-2014 [JG406]</v>
      </c>
      <c r="I348" s="8" t="s">
        <v>1100</v>
      </c>
      <c r="J348" s="8" t="s">
        <v>1157</v>
      </c>
      <c r="K348" s="8" t="s">
        <v>1163</v>
      </c>
      <c r="L348" s="9"/>
      <c r="M348" s="10" t="str">
        <f t="shared" si="11"/>
        <v>Sorbus  aucuparia</v>
      </c>
    </row>
    <row r="349" spans="1:13" ht="15.6" x14ac:dyDescent="0.3">
      <c r="A349" s="11" t="s">
        <v>1530</v>
      </c>
      <c r="B349" s="44" t="s">
        <v>301</v>
      </c>
      <c r="C349" s="11" t="s">
        <v>302</v>
      </c>
      <c r="D349" s="12" t="s">
        <v>1164</v>
      </c>
      <c r="E349" s="12" t="s">
        <v>1165</v>
      </c>
      <c r="F349" s="13">
        <v>41798</v>
      </c>
      <c r="G349" s="7" t="s">
        <v>86</v>
      </c>
      <c r="H349" s="1" t="str">
        <f t="shared" si="10"/>
        <v>30TVN365530: Hoz de Arreba. Encinar, 883 m. 8-6-2014 [JG184]</v>
      </c>
      <c r="I349" s="14" t="s">
        <v>1100</v>
      </c>
      <c r="J349" s="14" t="s">
        <v>1166</v>
      </c>
      <c r="K349" s="14" t="s">
        <v>1167</v>
      </c>
      <c r="L349" s="15"/>
      <c r="M349" s="7" t="str">
        <f t="shared" si="11"/>
        <v>Spiraea hypericifolia subsp. obovata</v>
      </c>
    </row>
    <row r="350" spans="1:13" ht="15.6" x14ac:dyDescent="0.3">
      <c r="A350" s="11" t="s">
        <v>1531</v>
      </c>
      <c r="B350" s="44" t="s">
        <v>301</v>
      </c>
      <c r="C350" s="11" t="s">
        <v>302</v>
      </c>
      <c r="D350" s="17" t="s">
        <v>1168</v>
      </c>
      <c r="E350" s="12" t="s">
        <v>1169</v>
      </c>
      <c r="F350" s="13">
        <v>41798</v>
      </c>
      <c r="G350" s="7" t="s">
        <v>86</v>
      </c>
      <c r="H350" s="1" t="str">
        <f t="shared" si="10"/>
        <v>30TVN365530: Hoz de Arreba. Encinar, 883 m. 8-6-2014 [JG185]</v>
      </c>
      <c r="I350" s="14" t="s">
        <v>1170</v>
      </c>
      <c r="J350" s="14" t="s">
        <v>1171</v>
      </c>
      <c r="K350" s="14" t="s">
        <v>1172</v>
      </c>
      <c r="L350" s="15"/>
      <c r="M350" s="7" t="str">
        <f t="shared" si="11"/>
        <v>Crucianella angustifolia</v>
      </c>
    </row>
    <row r="351" spans="1:13" ht="15.6" x14ac:dyDescent="0.3">
      <c r="A351" s="11" t="s">
        <v>1532</v>
      </c>
      <c r="B351" s="44" t="s">
        <v>83</v>
      </c>
      <c r="C351" s="11" t="s">
        <v>84</v>
      </c>
      <c r="D351" s="12" t="s">
        <v>1173</v>
      </c>
      <c r="E351" s="12" t="s">
        <v>1174</v>
      </c>
      <c r="F351" s="13">
        <v>41798</v>
      </c>
      <c r="G351" s="7" t="s">
        <v>86</v>
      </c>
      <c r="H351" s="1" t="str">
        <f t="shared" si="10"/>
        <v>30TVN350545: Torres de Abajo. Encinar, 929 m. 8-6-2014 [JG069]</v>
      </c>
      <c r="I351" s="14" t="s">
        <v>1170</v>
      </c>
      <c r="J351" s="14" t="s">
        <v>1175</v>
      </c>
      <c r="K351" s="14" t="s">
        <v>1176</v>
      </c>
      <c r="L351" s="15"/>
      <c r="M351" s="7" t="str">
        <f t="shared" si="11"/>
        <v>Cruciata glabra subsp. glabra</v>
      </c>
    </row>
    <row r="352" spans="1:13" ht="15.6" x14ac:dyDescent="0.3">
      <c r="A352" s="11" t="s">
        <v>1532</v>
      </c>
      <c r="B352" s="44" t="s">
        <v>73</v>
      </c>
      <c r="C352" s="11" t="s">
        <v>74</v>
      </c>
      <c r="D352" s="12" t="s">
        <v>1177</v>
      </c>
      <c r="E352" s="12" t="s">
        <v>1178</v>
      </c>
      <c r="F352" s="13">
        <v>41805</v>
      </c>
      <c r="G352" s="7" t="s">
        <v>66</v>
      </c>
      <c r="H352" s="1" t="str">
        <f t="shared" si="10"/>
        <v>30TVN407532: Cubillos del Rojo. Quejigar, 894 m. 15-6-2014 [JG088]</v>
      </c>
      <c r="I352" s="19" t="s">
        <v>1170</v>
      </c>
      <c r="J352" s="14" t="s">
        <v>1175</v>
      </c>
      <c r="K352" s="14" t="s">
        <v>1176</v>
      </c>
      <c r="L352" s="15"/>
      <c r="M352" s="7" t="str">
        <f t="shared" si="11"/>
        <v>Cruciata glabra subsp. glabra</v>
      </c>
    </row>
    <row r="353" spans="1:13" ht="15.6" x14ac:dyDescent="0.3">
      <c r="A353" s="11" t="s">
        <v>1532</v>
      </c>
      <c r="B353" s="44" t="s">
        <v>573</v>
      </c>
      <c r="C353" s="11" t="s">
        <v>574</v>
      </c>
      <c r="D353" s="17" t="s">
        <v>1179</v>
      </c>
      <c r="E353" s="12" t="s">
        <v>1180</v>
      </c>
      <c r="F353" s="13">
        <v>41804</v>
      </c>
      <c r="G353" s="7" t="s">
        <v>94</v>
      </c>
      <c r="H353" s="1" t="str">
        <f t="shared" si="10"/>
        <v>30TVN332537: Cilleruelo de Bezana. Hayedo de Carrales, 996 m. 14-6-2014 [JG250]</v>
      </c>
      <c r="I353" s="19" t="s">
        <v>1170</v>
      </c>
      <c r="J353" s="32" t="s">
        <v>1175</v>
      </c>
      <c r="K353" s="35" t="s">
        <v>1176</v>
      </c>
      <c r="L353" s="15"/>
      <c r="M353" s="7" t="str">
        <f t="shared" si="11"/>
        <v>Cruciata glabra subsp. glabra</v>
      </c>
    </row>
    <row r="354" spans="1:13" ht="15.6" x14ac:dyDescent="0.3">
      <c r="A354" s="11" t="s">
        <v>1532</v>
      </c>
      <c r="B354" s="44" t="s">
        <v>187</v>
      </c>
      <c r="C354" s="11" t="s">
        <v>188</v>
      </c>
      <c r="D354" s="17" t="s">
        <v>1181</v>
      </c>
      <c r="E354" s="12" t="s">
        <v>1182</v>
      </c>
      <c r="F354" s="13">
        <v>41796</v>
      </c>
      <c r="G354" s="7" t="s">
        <v>144</v>
      </c>
      <c r="H354" s="1" t="str">
        <f t="shared" si="10"/>
        <v>30TVN366512: Munilla. Melojar, 764 m. 6-6-2014 [JG330]</v>
      </c>
      <c r="I354" s="14" t="s">
        <v>1170</v>
      </c>
      <c r="J354" s="14" t="s">
        <v>1175</v>
      </c>
      <c r="K354" s="14" t="s">
        <v>1176</v>
      </c>
      <c r="L354" s="16"/>
      <c r="M354" s="7" t="str">
        <f t="shared" si="11"/>
        <v>Cruciata glabra subsp. glabra</v>
      </c>
    </row>
    <row r="355" spans="1:13" ht="15.6" x14ac:dyDescent="0.3">
      <c r="A355" s="11" t="s">
        <v>1532</v>
      </c>
      <c r="B355" s="44" t="s">
        <v>384</v>
      </c>
      <c r="C355" s="11" t="s">
        <v>385</v>
      </c>
      <c r="D355" s="12" t="s">
        <v>1183</v>
      </c>
      <c r="E355" s="12" t="s">
        <v>1184</v>
      </c>
      <c r="F355" s="13">
        <v>41796</v>
      </c>
      <c r="G355" s="7" t="s">
        <v>144</v>
      </c>
      <c r="H355" s="1" t="str">
        <f t="shared" si="10"/>
        <v>30TVN356517: Munilla. Quejigar, 905 m. 6-6-2014 [JG365]</v>
      </c>
      <c r="I355" s="14" t="s">
        <v>1170</v>
      </c>
      <c r="J355" s="14" t="s">
        <v>1175</v>
      </c>
      <c r="K355" s="14" t="s">
        <v>1176</v>
      </c>
      <c r="L355" s="15"/>
      <c r="M355" s="7" t="str">
        <f t="shared" si="11"/>
        <v>Cruciata glabra subsp. glabra</v>
      </c>
    </row>
    <row r="356" spans="1:13" ht="15.6" x14ac:dyDescent="0.3">
      <c r="A356" s="11" t="s">
        <v>1532</v>
      </c>
      <c r="B356" s="44" t="s">
        <v>172</v>
      </c>
      <c r="C356" s="11" t="s">
        <v>173</v>
      </c>
      <c r="D356" s="21" t="s">
        <v>1185</v>
      </c>
      <c r="E356" s="12" t="s">
        <v>1186</v>
      </c>
      <c r="F356" s="13">
        <v>41798</v>
      </c>
      <c r="G356" s="7" t="s">
        <v>86</v>
      </c>
      <c r="H356" s="1" t="str">
        <f t="shared" si="10"/>
        <v>30TVN365521: Munilla. Quejigar, 944 m. 8-6-2014 [JG388]</v>
      </c>
      <c r="I356" s="19" t="s">
        <v>1170</v>
      </c>
      <c r="J356" s="14" t="s">
        <v>1175</v>
      </c>
      <c r="K356" s="14" t="s">
        <v>1176</v>
      </c>
      <c r="L356" s="15"/>
      <c r="M356" s="7" t="str">
        <f t="shared" si="11"/>
        <v>Cruciata glabra subsp. glabra</v>
      </c>
    </row>
    <row r="357" spans="1:13" ht="15.6" x14ac:dyDescent="0.3">
      <c r="A357" s="11" t="s">
        <v>1533</v>
      </c>
      <c r="B357" s="44" t="s">
        <v>83</v>
      </c>
      <c r="C357" s="11" t="s">
        <v>84</v>
      </c>
      <c r="D357" s="17" t="s">
        <v>1187</v>
      </c>
      <c r="E357" s="12" t="s">
        <v>1188</v>
      </c>
      <c r="F357" s="13">
        <v>41798</v>
      </c>
      <c r="G357" s="7" t="s">
        <v>86</v>
      </c>
      <c r="H357" s="1" t="str">
        <f t="shared" si="10"/>
        <v>30TVN350545: Torres de Abajo. Encinar, 929 m. 8-6-2014 [JG070]</v>
      </c>
      <c r="I357" s="14" t="s">
        <v>1170</v>
      </c>
      <c r="J357" s="14" t="s">
        <v>1189</v>
      </c>
      <c r="K357" s="14" t="s">
        <v>1190</v>
      </c>
      <c r="L357" s="15"/>
      <c r="M357" s="7" t="str">
        <f t="shared" si="11"/>
        <v>Galium aparine subsp. aparine</v>
      </c>
    </row>
    <row r="358" spans="1:13" ht="15.6" x14ac:dyDescent="0.3">
      <c r="A358" s="11" t="s">
        <v>1534</v>
      </c>
      <c r="B358" s="44" t="s">
        <v>83</v>
      </c>
      <c r="C358" s="11" t="s">
        <v>84</v>
      </c>
      <c r="D358" s="12" t="s">
        <v>1191</v>
      </c>
      <c r="E358" s="12" t="s">
        <v>1192</v>
      </c>
      <c r="F358" s="13">
        <v>41798</v>
      </c>
      <c r="G358" s="7" t="s">
        <v>86</v>
      </c>
      <c r="H358" s="1" t="str">
        <f t="shared" si="10"/>
        <v>30TVN350545: Torres de Abajo. Encinar, 929 m. 8-6-2014 [JG071]</v>
      </c>
      <c r="I358" s="14" t="s">
        <v>1170</v>
      </c>
      <c r="J358" s="14" t="s">
        <v>1189</v>
      </c>
      <c r="K358" s="14" t="s">
        <v>1193</v>
      </c>
      <c r="L358" s="15"/>
      <c r="M358" s="7" t="str">
        <f t="shared" si="11"/>
        <v>Galium mollugo subsp. mollugo</v>
      </c>
    </row>
    <row r="359" spans="1:13" ht="15.6" x14ac:dyDescent="0.3">
      <c r="A359" s="11" t="s">
        <v>1534</v>
      </c>
      <c r="B359" s="44" t="s">
        <v>63</v>
      </c>
      <c r="C359" s="11" t="s">
        <v>64</v>
      </c>
      <c r="D359" s="11" t="s">
        <v>1194</v>
      </c>
      <c r="E359" s="12" t="s">
        <v>1195</v>
      </c>
      <c r="F359" s="13">
        <v>41805</v>
      </c>
      <c r="G359" s="7" t="s">
        <v>66</v>
      </c>
      <c r="H359" s="1" t="str">
        <f t="shared" si="10"/>
        <v>30TVN408533: Cubillos del Rojo. Encinar, 901 m. 15-6-2014 [JG110]</v>
      </c>
      <c r="I359" s="14" t="s">
        <v>1170</v>
      </c>
      <c r="J359" s="14" t="s">
        <v>1189</v>
      </c>
      <c r="K359" s="14" t="s">
        <v>1193</v>
      </c>
      <c r="L359" s="15"/>
      <c r="M359" s="7" t="str">
        <f t="shared" si="11"/>
        <v>Galium mollugo subsp. mollugo</v>
      </c>
    </row>
    <row r="360" spans="1:13" ht="15.6" x14ac:dyDescent="0.3">
      <c r="A360" s="11" t="s">
        <v>1534</v>
      </c>
      <c r="B360" s="44" t="s">
        <v>68</v>
      </c>
      <c r="C360" s="11" t="s">
        <v>69</v>
      </c>
      <c r="D360" s="12" t="s">
        <v>1196</v>
      </c>
      <c r="E360" s="12" t="s">
        <v>1197</v>
      </c>
      <c r="F360" s="13">
        <v>41794</v>
      </c>
      <c r="G360" s="7" t="s">
        <v>71</v>
      </c>
      <c r="H360" s="1" t="str">
        <f t="shared" si="10"/>
        <v>30TVN373545: Hoz de Arreba. Encinar, 829 m. 4-6-2014 [JG136]</v>
      </c>
      <c r="I360" s="14" t="s">
        <v>1170</v>
      </c>
      <c r="J360" s="14" t="s">
        <v>1189</v>
      </c>
      <c r="K360" s="14" t="s">
        <v>1193</v>
      </c>
      <c r="L360" s="15"/>
      <c r="M360" s="7" t="str">
        <f t="shared" si="11"/>
        <v>Galium mollugo subsp. mollugo</v>
      </c>
    </row>
    <row r="361" spans="1:13" ht="15.6" x14ac:dyDescent="0.3">
      <c r="A361" s="11" t="s">
        <v>1534</v>
      </c>
      <c r="B361" s="44" t="s">
        <v>267</v>
      </c>
      <c r="C361" s="11" t="s">
        <v>268</v>
      </c>
      <c r="D361" s="17" t="s">
        <v>1198</v>
      </c>
      <c r="E361" s="12" t="s">
        <v>1199</v>
      </c>
      <c r="F361" s="13">
        <v>41796</v>
      </c>
      <c r="G361" s="7" t="s">
        <v>144</v>
      </c>
      <c r="H361" s="1" t="str">
        <f t="shared" si="10"/>
        <v>30TVN367537: Hoz de Arreba. Quejigar, 732 m. 6-6-2014 [JG164]</v>
      </c>
      <c r="I361" s="14" t="s">
        <v>1170</v>
      </c>
      <c r="J361" s="14" t="s">
        <v>1189</v>
      </c>
      <c r="K361" s="14" t="s">
        <v>1193</v>
      </c>
      <c r="L361" s="15"/>
      <c r="M361" s="7" t="str">
        <f t="shared" si="11"/>
        <v>Galium mollugo subsp. mollugo</v>
      </c>
    </row>
    <row r="362" spans="1:13" ht="15.6" x14ac:dyDescent="0.3">
      <c r="A362" s="11" t="s">
        <v>1534</v>
      </c>
      <c r="B362" s="44" t="s">
        <v>301</v>
      </c>
      <c r="C362" s="11" t="s">
        <v>302</v>
      </c>
      <c r="D362" s="12" t="s">
        <v>1200</v>
      </c>
      <c r="E362" s="12" t="s">
        <v>1201</v>
      </c>
      <c r="F362" s="13">
        <v>41798</v>
      </c>
      <c r="G362" s="7" t="s">
        <v>86</v>
      </c>
      <c r="H362" s="1" t="str">
        <f t="shared" si="10"/>
        <v>30TVN365530: Hoz de Arreba. Encinar, 883 m. 8-6-2014 [JG186]</v>
      </c>
      <c r="I362" s="14" t="s">
        <v>1170</v>
      </c>
      <c r="J362" s="14" t="s">
        <v>1189</v>
      </c>
      <c r="K362" s="14" t="s">
        <v>1193</v>
      </c>
      <c r="L362" s="15"/>
      <c r="M362" s="7" t="str">
        <f t="shared" si="11"/>
        <v>Galium mollugo subsp. mollugo</v>
      </c>
    </row>
    <row r="363" spans="1:13" ht="15.6" x14ac:dyDescent="0.3">
      <c r="A363" s="11" t="s">
        <v>1534</v>
      </c>
      <c r="B363" s="44" t="s">
        <v>172</v>
      </c>
      <c r="C363" s="11" t="s">
        <v>173</v>
      </c>
      <c r="D363" s="21" t="s">
        <v>1202</v>
      </c>
      <c r="E363" s="12" t="s">
        <v>1203</v>
      </c>
      <c r="F363" s="13">
        <v>41798</v>
      </c>
      <c r="G363" s="7" t="s">
        <v>86</v>
      </c>
      <c r="H363" s="1" t="str">
        <f t="shared" si="10"/>
        <v>30TVN365521: Munilla. Quejigar, 944 m. 8-6-2014 [JG389]</v>
      </c>
      <c r="I363" s="19" t="s">
        <v>1170</v>
      </c>
      <c r="J363" s="14" t="s">
        <v>1189</v>
      </c>
      <c r="K363" s="14" t="s">
        <v>1193</v>
      </c>
      <c r="L363" s="15"/>
      <c r="M363" s="7" t="str">
        <f t="shared" si="11"/>
        <v>Galium mollugo subsp. mollugo</v>
      </c>
    </row>
    <row r="364" spans="1:13" ht="15.6" x14ac:dyDescent="0.3">
      <c r="A364" s="11" t="s">
        <v>1535</v>
      </c>
      <c r="B364" s="44" t="s">
        <v>35</v>
      </c>
      <c r="C364" s="11" t="s">
        <v>36</v>
      </c>
      <c r="D364" s="12" t="s">
        <v>1204</v>
      </c>
      <c r="E364" s="12" t="s">
        <v>1205</v>
      </c>
      <c r="F364" s="13">
        <v>41781</v>
      </c>
      <c r="G364" s="7" t="s">
        <v>38</v>
      </c>
      <c r="H364" s="1" t="str">
        <f t="shared" si="10"/>
        <v>30TVN324545: Cilleruelo de Bezana. Hayedo de Carrales, 962 m. 22-5-2014 [JG225]</v>
      </c>
      <c r="I364" s="14" t="s">
        <v>1170</v>
      </c>
      <c r="J364" s="14" t="s">
        <v>1189</v>
      </c>
      <c r="K364" s="14" t="s">
        <v>19</v>
      </c>
      <c r="L364" s="15"/>
      <c r="M364" s="7" t="str">
        <f t="shared" si="11"/>
        <v>Galium odoratum</v>
      </c>
    </row>
    <row r="365" spans="1:13" ht="15.6" x14ac:dyDescent="0.3">
      <c r="A365" s="11" t="s">
        <v>1535</v>
      </c>
      <c r="B365" s="44" t="s">
        <v>573</v>
      </c>
      <c r="C365" s="11" t="s">
        <v>574</v>
      </c>
      <c r="D365" s="17" t="s">
        <v>1206</v>
      </c>
      <c r="E365" s="12" t="s">
        <v>1207</v>
      </c>
      <c r="F365" s="13">
        <v>41804</v>
      </c>
      <c r="G365" s="7" t="s">
        <v>94</v>
      </c>
      <c r="H365" s="1" t="str">
        <f t="shared" si="10"/>
        <v>30TVN332537: Cilleruelo de Bezana. Hayedo de Carrales, 996 m. 14-6-2014 [JG251]</v>
      </c>
      <c r="I365" s="19" t="s">
        <v>1170</v>
      </c>
      <c r="J365" s="19" t="s">
        <v>1189</v>
      </c>
      <c r="K365" s="14" t="s">
        <v>19</v>
      </c>
      <c r="L365" s="15"/>
      <c r="M365" s="7" t="str">
        <f t="shared" si="11"/>
        <v>Galium odoratum</v>
      </c>
    </row>
    <row r="366" spans="1:13" ht="15.6" x14ac:dyDescent="0.3">
      <c r="A366" s="11" t="s">
        <v>1536</v>
      </c>
      <c r="B366" s="44" t="s">
        <v>73</v>
      </c>
      <c r="C366" s="11" t="s">
        <v>74</v>
      </c>
      <c r="D366" s="21" t="s">
        <v>1208</v>
      </c>
      <c r="E366" s="12" t="s">
        <v>1209</v>
      </c>
      <c r="F366" s="13">
        <v>41805</v>
      </c>
      <c r="G366" s="7" t="s">
        <v>66</v>
      </c>
      <c r="H366" s="1" t="str">
        <f t="shared" si="10"/>
        <v>30TVN407532: Cubillos del Rojo. Quejigar, 894 m. 15-6-2014 [JG089]</v>
      </c>
      <c r="I366" s="19" t="s">
        <v>1170</v>
      </c>
      <c r="J366" s="14" t="s">
        <v>1189</v>
      </c>
      <c r="K366" s="14" t="s">
        <v>1210</v>
      </c>
      <c r="L366" s="15"/>
      <c r="M366" s="7" t="str">
        <f t="shared" si="11"/>
        <v>Galium saxatile</v>
      </c>
    </row>
    <row r="367" spans="1:13" ht="15.6" x14ac:dyDescent="0.3">
      <c r="A367" s="11" t="s">
        <v>1536</v>
      </c>
      <c r="B367" s="44" t="s">
        <v>154</v>
      </c>
      <c r="C367" s="11" t="s">
        <v>155</v>
      </c>
      <c r="D367" s="12" t="s">
        <v>1211</v>
      </c>
      <c r="E367" s="12" t="s">
        <v>1212</v>
      </c>
      <c r="F367" s="13">
        <v>41795</v>
      </c>
      <c r="G367" s="7" t="s">
        <v>58</v>
      </c>
      <c r="H367" s="1" t="str">
        <f t="shared" si="10"/>
        <v>30TVN396513: Lándraves. Quejigar, 676 m. 5-6-2014 [JG198]</v>
      </c>
      <c r="I367" s="14" t="s">
        <v>1170</v>
      </c>
      <c r="J367" s="14" t="s">
        <v>1189</v>
      </c>
      <c r="K367" s="14" t="s">
        <v>1210</v>
      </c>
      <c r="L367" s="15"/>
      <c r="M367" s="7" t="str">
        <f t="shared" si="11"/>
        <v>Galium saxatile</v>
      </c>
    </row>
    <row r="368" spans="1:13" ht="15.6" x14ac:dyDescent="0.3">
      <c r="A368" s="11" t="s">
        <v>1536</v>
      </c>
      <c r="B368" s="44" t="s">
        <v>384</v>
      </c>
      <c r="C368" s="11" t="s">
        <v>385</v>
      </c>
      <c r="D368" s="12" t="s">
        <v>1213</v>
      </c>
      <c r="E368" s="12" t="s">
        <v>1214</v>
      </c>
      <c r="F368" s="13">
        <v>41796</v>
      </c>
      <c r="G368" s="7" t="s">
        <v>144</v>
      </c>
      <c r="H368" s="1" t="str">
        <f t="shared" si="10"/>
        <v>30TVN356517: Munilla. Quejigar, 905 m. 6-6-2014 [JG366]</v>
      </c>
      <c r="I368" s="14" t="s">
        <v>1170</v>
      </c>
      <c r="J368" s="14" t="s">
        <v>1189</v>
      </c>
      <c r="K368" s="14" t="s">
        <v>1210</v>
      </c>
      <c r="L368" s="15"/>
      <c r="M368" s="7" t="str">
        <f t="shared" si="11"/>
        <v>Galium saxatile</v>
      </c>
    </row>
    <row r="369" spans="1:13" ht="15.6" x14ac:dyDescent="0.3">
      <c r="A369" s="11" t="s">
        <v>1536</v>
      </c>
      <c r="B369" s="44" t="s">
        <v>200</v>
      </c>
      <c r="C369" s="11" t="s">
        <v>201</v>
      </c>
      <c r="D369" s="11" t="s">
        <v>1215</v>
      </c>
      <c r="E369" s="12" t="s">
        <v>1216</v>
      </c>
      <c r="F369" s="13">
        <v>41800</v>
      </c>
      <c r="G369" s="7" t="s">
        <v>198</v>
      </c>
      <c r="H369" s="1" t="str">
        <f t="shared" si="10"/>
        <v>30TVN315593: Cilleruelo de Bezana. Carballeda, 910 m. 10-6-2014 [JG423]</v>
      </c>
      <c r="I369" s="14" t="s">
        <v>1170</v>
      </c>
      <c r="J369" s="14" t="s">
        <v>1189</v>
      </c>
      <c r="K369" s="14" t="s">
        <v>1210</v>
      </c>
      <c r="L369" s="15"/>
      <c r="M369" s="7" t="str">
        <f t="shared" si="11"/>
        <v>Galium saxatile</v>
      </c>
    </row>
    <row r="370" spans="1:13" ht="15.6" x14ac:dyDescent="0.3">
      <c r="A370" s="4" t="s">
        <v>1537</v>
      </c>
      <c r="B370" s="44" t="s">
        <v>512</v>
      </c>
      <c r="C370" s="4" t="s">
        <v>513</v>
      </c>
      <c r="D370" s="5" t="s">
        <v>1217</v>
      </c>
      <c r="E370" s="5" t="s">
        <v>1218</v>
      </c>
      <c r="F370" s="6">
        <v>41806</v>
      </c>
      <c r="G370" s="7" t="s">
        <v>32</v>
      </c>
      <c r="H370" s="1" t="str">
        <f t="shared" si="10"/>
        <v>30TVN308588: Cilleruelo de Bezana. Carballeda, 806 m. 16-6-2014 [JG035]</v>
      </c>
      <c r="I370" s="8" t="s">
        <v>1170</v>
      </c>
      <c r="J370" s="8" t="s">
        <v>1219</v>
      </c>
      <c r="K370" s="8" t="s">
        <v>1220</v>
      </c>
      <c r="L370" s="9"/>
      <c r="M370" s="10" t="str">
        <f t="shared" si="11"/>
        <v>Rubia peregrina</v>
      </c>
    </row>
    <row r="371" spans="1:13" ht="15.6" x14ac:dyDescent="0.3">
      <c r="A371" s="11" t="s">
        <v>1537</v>
      </c>
      <c r="B371" s="44" t="s">
        <v>267</v>
      </c>
      <c r="C371" s="11" t="s">
        <v>268</v>
      </c>
      <c r="D371" s="21" t="s">
        <v>1221</v>
      </c>
      <c r="E371" s="12" t="s">
        <v>1222</v>
      </c>
      <c r="F371" s="13">
        <v>41796</v>
      </c>
      <c r="G371" s="7" t="s">
        <v>144</v>
      </c>
      <c r="H371" s="1" t="str">
        <f t="shared" si="10"/>
        <v>30TVN367537: Hoz de Arreba. Quejigar, 732 m. 6-6-2014 [JG165]</v>
      </c>
      <c r="I371" s="14" t="s">
        <v>1170</v>
      </c>
      <c r="J371" s="14" t="s">
        <v>1219</v>
      </c>
      <c r="K371" s="14" t="s">
        <v>1220</v>
      </c>
      <c r="L371" s="15"/>
      <c r="M371" s="7" t="str">
        <f t="shared" si="11"/>
        <v>Rubia peregrina</v>
      </c>
    </row>
    <row r="372" spans="1:13" ht="15.6" x14ac:dyDescent="0.3">
      <c r="A372" s="11" t="s">
        <v>1538</v>
      </c>
      <c r="B372" s="44" t="s">
        <v>35</v>
      </c>
      <c r="C372" s="11" t="s">
        <v>36</v>
      </c>
      <c r="D372" s="12" t="s">
        <v>1223</v>
      </c>
      <c r="E372" s="12" t="s">
        <v>1224</v>
      </c>
      <c r="F372" s="13">
        <v>41792</v>
      </c>
      <c r="G372" s="7" t="s">
        <v>46</v>
      </c>
      <c r="H372" s="1" t="str">
        <f t="shared" si="10"/>
        <v>30TVN324545: Cilleruelo de Bezana. Hayedo de Carrales, 962 m. 2-6-2014 [JG226]</v>
      </c>
      <c r="I372" s="14" t="s">
        <v>1225</v>
      </c>
      <c r="J372" s="14" t="s">
        <v>1226</v>
      </c>
      <c r="K372" s="14" t="s">
        <v>1227</v>
      </c>
      <c r="L372" s="15"/>
      <c r="M372" s="7" t="str">
        <f t="shared" si="11"/>
        <v>Populus tremula</v>
      </c>
    </row>
    <row r="373" spans="1:13" ht="15.6" x14ac:dyDescent="0.3">
      <c r="A373" s="11" t="s">
        <v>1539</v>
      </c>
      <c r="B373" s="44" t="s">
        <v>236</v>
      </c>
      <c r="C373" s="11" t="s">
        <v>237</v>
      </c>
      <c r="D373" s="12" t="s">
        <v>1228</v>
      </c>
      <c r="E373" s="12" t="s">
        <v>1229</v>
      </c>
      <c r="F373" s="13">
        <v>41782</v>
      </c>
      <c r="G373" s="7" t="s">
        <v>239</v>
      </c>
      <c r="H373" s="1" t="str">
        <f t="shared" si="10"/>
        <v>30TVN306592: Cilleruelo de Bezana. Carballeda, 889 m. 23-5-2014 [JG413]</v>
      </c>
      <c r="I373" s="14" t="s">
        <v>1225</v>
      </c>
      <c r="J373" s="14" t="s">
        <v>1230</v>
      </c>
      <c r="K373" s="35" t="s">
        <v>1231</v>
      </c>
      <c r="L373" s="15"/>
      <c r="M373" s="7" t="str">
        <f t="shared" si="11"/>
        <v>Salix atrocinerea</v>
      </c>
    </row>
    <row r="374" spans="1:13" ht="15.6" x14ac:dyDescent="0.3">
      <c r="A374" s="11" t="s">
        <v>1540</v>
      </c>
      <c r="B374" s="44" t="s">
        <v>83</v>
      </c>
      <c r="C374" s="11" t="s">
        <v>84</v>
      </c>
      <c r="D374" s="17" t="s">
        <v>1232</v>
      </c>
      <c r="E374" s="12" t="s">
        <v>1233</v>
      </c>
      <c r="F374" s="13">
        <v>41798</v>
      </c>
      <c r="G374" s="7" t="s">
        <v>86</v>
      </c>
      <c r="H374" s="1" t="str">
        <f t="shared" si="10"/>
        <v>30TVN350545: Torres de Abajo. Encinar, 929 m. 8-6-2014 [JG072]</v>
      </c>
      <c r="I374" s="14" t="s">
        <v>1234</v>
      </c>
      <c r="J374" s="14" t="s">
        <v>1235</v>
      </c>
      <c r="K374" s="14" t="s">
        <v>1236</v>
      </c>
      <c r="L374" s="15"/>
      <c r="M374" s="7" t="str">
        <f t="shared" si="11"/>
        <v>Chaenorhinum origanifolium subsp. origanifolium</v>
      </c>
    </row>
    <row r="375" spans="1:13" ht="15.6" x14ac:dyDescent="0.3">
      <c r="A375" s="11" t="s">
        <v>1541</v>
      </c>
      <c r="B375" s="44" t="s">
        <v>83</v>
      </c>
      <c r="C375" s="11" t="s">
        <v>84</v>
      </c>
      <c r="D375" s="12" t="s">
        <v>1237</v>
      </c>
      <c r="E375" s="12" t="s">
        <v>1238</v>
      </c>
      <c r="F375" s="13">
        <v>41798</v>
      </c>
      <c r="G375" s="7" t="s">
        <v>86</v>
      </c>
      <c r="H375" s="1" t="str">
        <f t="shared" si="10"/>
        <v>30TVN350545: Torres de Abajo. Encinar, 929 m. 8-6-2014 [JG073]</v>
      </c>
      <c r="I375" s="14" t="s">
        <v>1234</v>
      </c>
      <c r="J375" s="14" t="s">
        <v>1239</v>
      </c>
      <c r="K375" s="14" t="s">
        <v>664</v>
      </c>
      <c r="L375" s="15"/>
      <c r="M375" s="7" t="str">
        <f t="shared" si="11"/>
        <v>Erinus alpinus</v>
      </c>
    </row>
    <row r="376" spans="1:13" ht="15.6" x14ac:dyDescent="0.3">
      <c r="A376" s="11" t="s">
        <v>1541</v>
      </c>
      <c r="B376" s="44" t="s">
        <v>63</v>
      </c>
      <c r="C376" s="11" t="s">
        <v>64</v>
      </c>
      <c r="D376" s="11" t="s">
        <v>1240</v>
      </c>
      <c r="E376" s="12" t="s">
        <v>1241</v>
      </c>
      <c r="F376" s="13">
        <v>41805</v>
      </c>
      <c r="G376" s="7" t="s">
        <v>66</v>
      </c>
      <c r="H376" s="1" t="str">
        <f t="shared" si="10"/>
        <v>30TVN408533: Cubillos del Rojo. Encinar, 901 m. 15-6-2014 [JG111]</v>
      </c>
      <c r="I376" s="14" t="s">
        <v>1234</v>
      </c>
      <c r="J376" s="14" t="s">
        <v>1239</v>
      </c>
      <c r="K376" s="14" t="s">
        <v>664</v>
      </c>
      <c r="L376" s="15"/>
      <c r="M376" s="7" t="str">
        <f t="shared" si="11"/>
        <v>Erinus alpinus</v>
      </c>
    </row>
    <row r="377" spans="1:13" ht="15.6" x14ac:dyDescent="0.3">
      <c r="A377" s="11" t="s">
        <v>1541</v>
      </c>
      <c r="B377" s="44" t="s">
        <v>301</v>
      </c>
      <c r="C377" s="11" t="s">
        <v>302</v>
      </c>
      <c r="D377" s="17" t="s">
        <v>1242</v>
      </c>
      <c r="E377" s="12" t="s">
        <v>1243</v>
      </c>
      <c r="F377" s="13">
        <v>41798</v>
      </c>
      <c r="G377" s="7" t="s">
        <v>86</v>
      </c>
      <c r="H377" s="1" t="str">
        <f t="shared" si="10"/>
        <v>30TVN365530: Hoz de Arreba. Encinar, 883 m. 8-6-2014 [JG187]</v>
      </c>
      <c r="I377" s="14" t="s">
        <v>1234</v>
      </c>
      <c r="J377" s="14" t="s">
        <v>1239</v>
      </c>
      <c r="K377" s="14" t="s">
        <v>664</v>
      </c>
      <c r="L377" s="15"/>
      <c r="M377" s="7" t="str">
        <f t="shared" si="11"/>
        <v>Erinus alpinus</v>
      </c>
    </row>
    <row r="378" spans="1:13" ht="15.6" x14ac:dyDescent="0.3">
      <c r="A378" s="11" t="s">
        <v>1542</v>
      </c>
      <c r="B378" s="44" t="s">
        <v>63</v>
      </c>
      <c r="C378" s="11" t="s">
        <v>64</v>
      </c>
      <c r="D378" s="11" t="s">
        <v>1244</v>
      </c>
      <c r="E378" s="12" t="s">
        <v>1245</v>
      </c>
      <c r="F378" s="13">
        <v>41805</v>
      </c>
      <c r="G378" s="7" t="s">
        <v>66</v>
      </c>
      <c r="H378" s="1" t="str">
        <f t="shared" si="10"/>
        <v>30TVN408533: Cubillos del Rojo. Encinar, 901 m. 15-6-2014 [JG112]</v>
      </c>
      <c r="I378" s="14" t="s">
        <v>1234</v>
      </c>
      <c r="J378" s="14" t="s">
        <v>1246</v>
      </c>
      <c r="K378" s="14" t="s">
        <v>1247</v>
      </c>
      <c r="L378" s="15"/>
      <c r="M378" s="7" t="str">
        <f t="shared" si="11"/>
        <v>Linaria propinqua</v>
      </c>
    </row>
    <row r="379" spans="1:13" ht="15.6" x14ac:dyDescent="0.3">
      <c r="A379" s="11" t="s">
        <v>1543</v>
      </c>
      <c r="B379" s="44" t="s">
        <v>192</v>
      </c>
      <c r="C379" s="11" t="s">
        <v>193</v>
      </c>
      <c r="D379" s="12" t="s">
        <v>1248</v>
      </c>
      <c r="E379" s="12" t="s">
        <v>1249</v>
      </c>
      <c r="F379" s="13">
        <v>41793</v>
      </c>
      <c r="G379" s="7" t="s">
        <v>195</v>
      </c>
      <c r="H379" s="1" t="str">
        <f t="shared" si="10"/>
        <v>30TVN325592: Virtus. Melojar, 918 m. 3-6-2014 [JG351]</v>
      </c>
      <c r="I379" s="14" t="s">
        <v>1234</v>
      </c>
      <c r="J379" s="14" t="s">
        <v>1250</v>
      </c>
      <c r="K379" s="14" t="s">
        <v>860</v>
      </c>
      <c r="L379" s="15"/>
      <c r="M379" s="7" t="str">
        <f t="shared" si="11"/>
        <v>Melampyrum pratense subsp. pratense</v>
      </c>
    </row>
    <row r="380" spans="1:13" ht="15.6" x14ac:dyDescent="0.3">
      <c r="A380" s="11" t="s">
        <v>1543</v>
      </c>
      <c r="B380" s="44" t="s">
        <v>384</v>
      </c>
      <c r="C380" s="11" t="s">
        <v>385</v>
      </c>
      <c r="D380" s="12" t="s">
        <v>1251</v>
      </c>
      <c r="E380" s="12" t="s">
        <v>1252</v>
      </c>
      <c r="F380" s="13">
        <v>41796</v>
      </c>
      <c r="G380" s="7" t="s">
        <v>144</v>
      </c>
      <c r="H380" s="1" t="str">
        <f t="shared" si="10"/>
        <v>30TVN356517: Munilla. Quejigar, 905 m. 6-6-2014 [JG367]</v>
      </c>
      <c r="I380" s="14" t="s">
        <v>1234</v>
      </c>
      <c r="J380" s="14" t="s">
        <v>1250</v>
      </c>
      <c r="K380" s="14" t="s">
        <v>860</v>
      </c>
      <c r="L380" s="15"/>
      <c r="M380" s="7" t="str">
        <f t="shared" si="11"/>
        <v>Melampyrum pratense subsp. pratense</v>
      </c>
    </row>
    <row r="381" spans="1:13" ht="15.6" x14ac:dyDescent="0.3">
      <c r="A381" s="11" t="s">
        <v>1543</v>
      </c>
      <c r="B381" s="44" t="s">
        <v>236</v>
      </c>
      <c r="C381" s="11" t="s">
        <v>237</v>
      </c>
      <c r="D381" s="12" t="s">
        <v>1253</v>
      </c>
      <c r="E381" s="12" t="s">
        <v>1254</v>
      </c>
      <c r="F381" s="13">
        <v>41782</v>
      </c>
      <c r="G381" s="7" t="s">
        <v>239</v>
      </c>
      <c r="H381" s="1" t="str">
        <f t="shared" si="10"/>
        <v>30TVN306592: Cilleruelo de Bezana. Carballeda, 889 m. 23-5-2014 [JG414]</v>
      </c>
      <c r="I381" s="14" t="s">
        <v>1234</v>
      </c>
      <c r="J381" s="14" t="s">
        <v>1250</v>
      </c>
      <c r="K381" s="14" t="s">
        <v>860</v>
      </c>
      <c r="L381" s="15"/>
      <c r="M381" s="7" t="str">
        <f t="shared" si="11"/>
        <v>Melampyrum pratense subsp. pratense</v>
      </c>
    </row>
    <row r="382" spans="1:13" ht="15.6" x14ac:dyDescent="0.3">
      <c r="A382" s="11" t="s">
        <v>1543</v>
      </c>
      <c r="B382" s="44" t="s">
        <v>200</v>
      </c>
      <c r="C382" s="11" t="s">
        <v>201</v>
      </c>
      <c r="D382" s="11" t="s">
        <v>1255</v>
      </c>
      <c r="E382" s="12" t="s">
        <v>1256</v>
      </c>
      <c r="F382" s="13">
        <v>41800</v>
      </c>
      <c r="G382" s="7" t="s">
        <v>198</v>
      </c>
      <c r="H382" s="1" t="str">
        <f t="shared" si="10"/>
        <v>30TVN315593: Cilleruelo de Bezana. Carballeda, 910 m. 10-6-2014 [JG424]</v>
      </c>
      <c r="I382" s="14" t="s">
        <v>1234</v>
      </c>
      <c r="J382" s="14" t="s">
        <v>1250</v>
      </c>
      <c r="K382" s="14" t="s">
        <v>860</v>
      </c>
      <c r="L382" s="15"/>
      <c r="M382" s="7" t="str">
        <f t="shared" si="11"/>
        <v>Melampyrum pratense subsp. pratense</v>
      </c>
    </row>
    <row r="383" spans="1:13" ht="15.6" x14ac:dyDescent="0.3">
      <c r="A383" s="4" t="s">
        <v>1544</v>
      </c>
      <c r="B383" s="44" t="s">
        <v>512</v>
      </c>
      <c r="C383" s="4" t="s">
        <v>513</v>
      </c>
      <c r="D383" s="23" t="s">
        <v>1257</v>
      </c>
      <c r="E383" s="5" t="s">
        <v>1258</v>
      </c>
      <c r="F383" s="6">
        <v>41806</v>
      </c>
      <c r="G383" s="7" t="s">
        <v>32</v>
      </c>
      <c r="H383" s="1" t="str">
        <f t="shared" si="10"/>
        <v>30TVN308588: Cilleruelo de Bezana. Carballeda, 806 m. 16-6-2014 [JG036]</v>
      </c>
      <c r="I383" s="8" t="s">
        <v>1234</v>
      </c>
      <c r="J383" s="8" t="s">
        <v>1259</v>
      </c>
      <c r="K383" s="8" t="s">
        <v>1260</v>
      </c>
      <c r="L383" s="9"/>
      <c r="M383" s="10" t="str">
        <f t="shared" si="11"/>
        <v>Veronica chamaedrys subsp. chamaedrys</v>
      </c>
    </row>
    <row r="384" spans="1:13" ht="15.6" x14ac:dyDescent="0.3">
      <c r="A384" s="11" t="s">
        <v>1544</v>
      </c>
      <c r="B384" s="44" t="s">
        <v>573</v>
      </c>
      <c r="C384" s="11" t="s">
        <v>574</v>
      </c>
      <c r="D384" s="12" t="s">
        <v>1261</v>
      </c>
      <c r="E384" s="12" t="s">
        <v>1262</v>
      </c>
      <c r="F384" s="13">
        <v>41804</v>
      </c>
      <c r="G384" s="7" t="s">
        <v>94</v>
      </c>
      <c r="H384" s="1" t="str">
        <f t="shared" si="10"/>
        <v>30TVN332537: Cilleruelo de Bezana. Hayedo de Carrales, 996 m. 14-6-2014 [JG252]</v>
      </c>
      <c r="I384" s="14" t="s">
        <v>1234</v>
      </c>
      <c r="J384" s="14" t="s">
        <v>1259</v>
      </c>
      <c r="K384" s="14" t="s">
        <v>1260</v>
      </c>
      <c r="L384" s="15"/>
      <c r="M384" s="7" t="str">
        <f t="shared" si="11"/>
        <v>Veronica chamaedrys subsp. chamaedrys</v>
      </c>
    </row>
    <row r="385" spans="1:13" ht="15.6" x14ac:dyDescent="0.3">
      <c r="A385" s="11" t="s">
        <v>1544</v>
      </c>
      <c r="B385" s="44" t="s">
        <v>51</v>
      </c>
      <c r="C385" s="11" t="s">
        <v>52</v>
      </c>
      <c r="D385" s="12" t="s">
        <v>1263</v>
      </c>
      <c r="E385" s="12" t="s">
        <v>1264</v>
      </c>
      <c r="F385" s="13">
        <v>41799</v>
      </c>
      <c r="G385" s="7" t="s">
        <v>24</v>
      </c>
      <c r="H385" s="1" t="str">
        <f t="shared" si="10"/>
        <v>30TVN391579: San Cibrián. Hayedo, 737 m. 9-6-2014 [JG298]</v>
      </c>
      <c r="I385" s="14" t="s">
        <v>1234</v>
      </c>
      <c r="J385" s="14" t="s">
        <v>1259</v>
      </c>
      <c r="K385" s="14" t="s">
        <v>1260</v>
      </c>
      <c r="L385" s="15"/>
      <c r="M385" s="7" t="str">
        <f t="shared" si="11"/>
        <v>Veronica chamaedrys subsp. chamaedrys</v>
      </c>
    </row>
    <row r="386" spans="1:13" ht="15.6" x14ac:dyDescent="0.3">
      <c r="A386" s="4" t="s">
        <v>1544</v>
      </c>
      <c r="B386" s="44" t="s">
        <v>118</v>
      </c>
      <c r="C386" s="4" t="s">
        <v>119</v>
      </c>
      <c r="D386" s="5" t="s">
        <v>1265</v>
      </c>
      <c r="E386" s="5" t="s">
        <v>1266</v>
      </c>
      <c r="F386" s="6">
        <v>41800</v>
      </c>
      <c r="G386" s="7" t="s">
        <v>198</v>
      </c>
      <c r="H386" s="1" t="str">
        <f t="shared" ref="H386:H411" si="12">CONCATENATE(B386, ": ", C386, " ", G386, " ", "[", E386, "]")</f>
        <v>30TVN303593: Cilleruelo de Bezana. Carballeda, 819 m. 10-6-2014 [JG407]</v>
      </c>
      <c r="I386" s="8" t="s">
        <v>1234</v>
      </c>
      <c r="J386" s="8" t="s">
        <v>1259</v>
      </c>
      <c r="K386" s="8" t="s">
        <v>1260</v>
      </c>
      <c r="L386" s="9"/>
      <c r="M386" s="10" t="str">
        <f t="shared" ref="M386:M411" si="13">CONCATENATE(J386," ",K386)</f>
        <v>Veronica chamaedrys subsp. chamaedrys</v>
      </c>
    </row>
    <row r="387" spans="1:13" ht="15.6" x14ac:dyDescent="0.3">
      <c r="A387" s="11" t="s">
        <v>1545</v>
      </c>
      <c r="B387" s="44" t="s">
        <v>131</v>
      </c>
      <c r="C387" s="11" t="s">
        <v>132</v>
      </c>
      <c r="D387" s="12" t="s">
        <v>1267</v>
      </c>
      <c r="E387" s="12" t="s">
        <v>1268</v>
      </c>
      <c r="F387" s="13">
        <v>41808</v>
      </c>
      <c r="G387" s="7" t="s">
        <v>134</v>
      </c>
      <c r="H387" s="1" t="str">
        <f t="shared" si="12"/>
        <v>30TVN355608: Castrillo de Bezana. Melojar, 1007 m. 18-6-2014 [JG305]</v>
      </c>
      <c r="I387" s="14" t="s">
        <v>1234</v>
      </c>
      <c r="J387" s="14" t="s">
        <v>1259</v>
      </c>
      <c r="K387" s="14" t="s">
        <v>1269</v>
      </c>
      <c r="L387" s="15"/>
      <c r="M387" s="7" t="str">
        <f t="shared" si="13"/>
        <v>Veronica hederifolia</v>
      </c>
    </row>
    <row r="388" spans="1:13" ht="15.6" x14ac:dyDescent="0.3">
      <c r="A388" s="11" t="s">
        <v>1546</v>
      </c>
      <c r="B388" s="44" t="s">
        <v>35</v>
      </c>
      <c r="C388" s="11" t="s">
        <v>36</v>
      </c>
      <c r="D388" s="12" t="s">
        <v>1270</v>
      </c>
      <c r="E388" s="12" t="s">
        <v>1271</v>
      </c>
      <c r="F388" s="13">
        <v>41792</v>
      </c>
      <c r="G388" s="7" t="s">
        <v>46</v>
      </c>
      <c r="H388" s="1" t="str">
        <f t="shared" si="12"/>
        <v>30TVN324545: Cilleruelo de Bezana. Hayedo de Carrales, 962 m. 2-6-2014 [JG227]</v>
      </c>
      <c r="I388" s="14" t="s">
        <v>1234</v>
      </c>
      <c r="J388" s="14" t="s">
        <v>1259</v>
      </c>
      <c r="K388" s="14" t="s">
        <v>146</v>
      </c>
      <c r="L388" s="15"/>
      <c r="M388" s="7" t="str">
        <f t="shared" si="13"/>
        <v>Veronica montana</v>
      </c>
    </row>
    <row r="389" spans="1:13" ht="15.6" x14ac:dyDescent="0.3">
      <c r="A389" s="11" t="s">
        <v>1547</v>
      </c>
      <c r="B389" s="44" t="s">
        <v>187</v>
      </c>
      <c r="C389" s="11" t="s">
        <v>188</v>
      </c>
      <c r="D389" s="12" t="s">
        <v>1272</v>
      </c>
      <c r="E389" s="12" t="s">
        <v>1273</v>
      </c>
      <c r="F389" s="13">
        <v>41796</v>
      </c>
      <c r="G389" s="7" t="s">
        <v>144</v>
      </c>
      <c r="H389" s="1" t="str">
        <f t="shared" si="12"/>
        <v>30TVN366512: Munilla. Melojar, 764 m. 6-6-2014 [JG331]</v>
      </c>
      <c r="I389" s="14" t="s">
        <v>1234</v>
      </c>
      <c r="J389" s="14" t="s">
        <v>1259</v>
      </c>
      <c r="K389" s="14" t="s">
        <v>711</v>
      </c>
      <c r="L389" s="16"/>
      <c r="M389" s="7" t="str">
        <f t="shared" si="13"/>
        <v>Veronica officinalis</v>
      </c>
    </row>
    <row r="390" spans="1:13" ht="15.6" x14ac:dyDescent="0.3">
      <c r="A390" s="4" t="s">
        <v>1547</v>
      </c>
      <c r="B390" s="44" t="s">
        <v>118</v>
      </c>
      <c r="C390" s="4" t="s">
        <v>119</v>
      </c>
      <c r="D390" s="5" t="s">
        <v>1274</v>
      </c>
      <c r="E390" s="5" t="s">
        <v>1275</v>
      </c>
      <c r="F390" s="6">
        <v>41800</v>
      </c>
      <c r="G390" s="7" t="s">
        <v>198</v>
      </c>
      <c r="H390" s="1" t="str">
        <f t="shared" si="12"/>
        <v>30TVN303593: Cilleruelo de Bezana. Carballeda, 819 m. 10-6-2014 [JG408]</v>
      </c>
      <c r="I390" s="8" t="s">
        <v>1234</v>
      </c>
      <c r="J390" s="8" t="s">
        <v>1259</v>
      </c>
      <c r="K390" s="8" t="s">
        <v>711</v>
      </c>
      <c r="L390" s="9"/>
      <c r="M390" s="10" t="str">
        <f t="shared" si="13"/>
        <v>Veronica officinalis</v>
      </c>
    </row>
    <row r="391" spans="1:13" ht="15.6" x14ac:dyDescent="0.3">
      <c r="A391" s="11" t="s">
        <v>1548</v>
      </c>
      <c r="B391" s="44" t="s">
        <v>187</v>
      </c>
      <c r="C391" s="11" t="s">
        <v>188</v>
      </c>
      <c r="D391" s="12" t="s">
        <v>1276</v>
      </c>
      <c r="E391" s="12" t="s">
        <v>1277</v>
      </c>
      <c r="F391" s="13">
        <v>41796</v>
      </c>
      <c r="G391" s="7" t="s">
        <v>144</v>
      </c>
      <c r="H391" s="1" t="str">
        <f t="shared" si="12"/>
        <v>30TVN366512: Munilla. Melojar, 764 m. 6-6-2014 [JG332]</v>
      </c>
      <c r="I391" s="14" t="s">
        <v>1234</v>
      </c>
      <c r="J391" s="14" t="s">
        <v>1259</v>
      </c>
      <c r="K391" s="14" t="s">
        <v>1278</v>
      </c>
      <c r="L391" s="16"/>
      <c r="M391" s="7" t="str">
        <f t="shared" si="13"/>
        <v>Veronica ponae</v>
      </c>
    </row>
    <row r="392" spans="1:13" ht="15.6" x14ac:dyDescent="0.3">
      <c r="A392" s="4" t="s">
        <v>1549</v>
      </c>
      <c r="B392" s="44" t="s">
        <v>223</v>
      </c>
      <c r="C392" s="4" t="s">
        <v>224</v>
      </c>
      <c r="D392" s="5" t="s">
        <v>1279</v>
      </c>
      <c r="E392" s="5" t="s">
        <v>1280</v>
      </c>
      <c r="F392" s="6">
        <v>41804</v>
      </c>
      <c r="G392" s="7" t="s">
        <v>94</v>
      </c>
      <c r="H392" s="1" t="str">
        <f t="shared" si="12"/>
        <v>30TVN287569: Cilleruelo de Bezana. Hayedo de Carrales. 14-6-2014 [JG211]</v>
      </c>
      <c r="I392" s="8" t="s">
        <v>1234</v>
      </c>
      <c r="J392" s="8" t="s">
        <v>1259</v>
      </c>
      <c r="K392" s="8" t="s">
        <v>1281</v>
      </c>
      <c r="L392" s="9"/>
      <c r="M392" s="10" t="str">
        <f t="shared" si="13"/>
        <v>Veronica serpyllifolia subsp. serpyllifolia</v>
      </c>
    </row>
    <row r="393" spans="1:13" ht="15.6" x14ac:dyDescent="0.3">
      <c r="A393" s="11" t="s">
        <v>1550</v>
      </c>
      <c r="B393" s="44" t="s">
        <v>35</v>
      </c>
      <c r="C393" s="11" t="s">
        <v>36</v>
      </c>
      <c r="D393" s="12" t="s">
        <v>1282</v>
      </c>
      <c r="E393" s="12" t="s">
        <v>1283</v>
      </c>
      <c r="F393" s="13">
        <v>41746</v>
      </c>
      <c r="G393" s="7" t="s">
        <v>230</v>
      </c>
      <c r="H393" s="1" t="str">
        <f t="shared" si="12"/>
        <v>30TVN324545: Cilleruelo de Bezana. Hayedo de Carrales, 962 m. 17-4-2014 [JG228]</v>
      </c>
      <c r="I393" s="14" t="s">
        <v>1284</v>
      </c>
      <c r="J393" s="14" t="s">
        <v>1285</v>
      </c>
      <c r="K393" s="14" t="s">
        <v>1286</v>
      </c>
      <c r="L393" s="15"/>
      <c r="M393" s="7" t="str">
        <f t="shared" si="13"/>
        <v>Daphne laureola</v>
      </c>
    </row>
    <row r="394" spans="1:13" ht="15.6" x14ac:dyDescent="0.3">
      <c r="A394" s="11" t="s">
        <v>1551</v>
      </c>
      <c r="B394" s="44" t="s">
        <v>63</v>
      </c>
      <c r="C394" s="11" t="s">
        <v>64</v>
      </c>
      <c r="D394" s="11" t="s">
        <v>1287</v>
      </c>
      <c r="E394" s="12" t="s">
        <v>1288</v>
      </c>
      <c r="F394" s="13">
        <v>41805</v>
      </c>
      <c r="G394" s="7" t="s">
        <v>66</v>
      </c>
      <c r="H394" s="1" t="str">
        <f t="shared" si="12"/>
        <v>30TVN408533: Cubillos del Rojo. Encinar, 901 m. 15-6-2014 [JG113]</v>
      </c>
      <c r="I394" s="14" t="s">
        <v>1289</v>
      </c>
      <c r="J394" s="14" t="s">
        <v>1290</v>
      </c>
      <c r="K394" s="14" t="s">
        <v>1291</v>
      </c>
      <c r="L394" s="16"/>
      <c r="M394" s="7" t="str">
        <f t="shared" si="13"/>
        <v>Bupleurum rigidum subsp. rigidum</v>
      </c>
    </row>
    <row r="395" spans="1:13" ht="15.6" x14ac:dyDescent="0.3">
      <c r="A395" s="11" t="s">
        <v>1551</v>
      </c>
      <c r="B395" s="44" t="s">
        <v>267</v>
      </c>
      <c r="C395" s="11" t="s">
        <v>268</v>
      </c>
      <c r="D395" s="12" t="s">
        <v>1292</v>
      </c>
      <c r="E395" s="12" t="s">
        <v>1293</v>
      </c>
      <c r="F395" s="13">
        <v>41796</v>
      </c>
      <c r="G395" s="7" t="s">
        <v>144</v>
      </c>
      <c r="H395" s="1" t="str">
        <f t="shared" si="12"/>
        <v>30TVN367537: Hoz de Arreba. Quejigar, 732 m. 6-6-2014 [JG166]</v>
      </c>
      <c r="I395" s="14" t="s">
        <v>1289</v>
      </c>
      <c r="J395" s="14" t="s">
        <v>1290</v>
      </c>
      <c r="K395" s="14" t="s">
        <v>1291</v>
      </c>
      <c r="L395" s="7"/>
      <c r="M395" s="7" t="str">
        <f t="shared" si="13"/>
        <v>Bupleurum rigidum subsp. rigidum</v>
      </c>
    </row>
    <row r="396" spans="1:13" ht="15.6" x14ac:dyDescent="0.3">
      <c r="A396" s="4" t="s">
        <v>1552</v>
      </c>
      <c r="B396" s="44" t="s">
        <v>512</v>
      </c>
      <c r="C396" s="4" t="s">
        <v>513</v>
      </c>
      <c r="D396" s="5" t="s">
        <v>1294</v>
      </c>
      <c r="E396" s="5" t="s">
        <v>1295</v>
      </c>
      <c r="F396" s="6">
        <v>41806</v>
      </c>
      <c r="G396" s="7" t="s">
        <v>32</v>
      </c>
      <c r="H396" s="1" t="str">
        <f t="shared" si="12"/>
        <v>30TVN308588: Cilleruelo de Bezana. Carballeda, 806 m. 16-6-2014 [JG037]</v>
      </c>
      <c r="I396" s="8" t="s">
        <v>1289</v>
      </c>
      <c r="J396" s="8" t="s">
        <v>1296</v>
      </c>
      <c r="K396" s="8" t="s">
        <v>1297</v>
      </c>
      <c r="L396" s="9"/>
      <c r="M396" s="10" t="str">
        <f t="shared" si="13"/>
        <v>Conopodium pyrenaeum</v>
      </c>
    </row>
    <row r="397" spans="1:13" ht="15.6" x14ac:dyDescent="0.3">
      <c r="A397" s="11" t="s">
        <v>1552</v>
      </c>
      <c r="B397" s="44" t="s">
        <v>68</v>
      </c>
      <c r="C397" s="11" t="s">
        <v>69</v>
      </c>
      <c r="D397" s="17" t="s">
        <v>1298</v>
      </c>
      <c r="E397" s="12" t="s">
        <v>1299</v>
      </c>
      <c r="F397" s="13">
        <v>41794</v>
      </c>
      <c r="G397" s="7" t="s">
        <v>71</v>
      </c>
      <c r="H397" s="1" t="str">
        <f t="shared" si="12"/>
        <v>30TVN373545: Hoz de Arreba. Encinar, 829 m. 4-6-2014 [JG137]</v>
      </c>
      <c r="I397" s="14" t="s">
        <v>1289</v>
      </c>
      <c r="J397" s="14" t="s">
        <v>1296</v>
      </c>
      <c r="K397" s="14" t="s">
        <v>1297</v>
      </c>
      <c r="L397" s="15"/>
      <c r="M397" s="7" t="str">
        <f t="shared" si="13"/>
        <v>Conopodium pyrenaeum</v>
      </c>
    </row>
    <row r="398" spans="1:13" ht="15.6" x14ac:dyDescent="0.3">
      <c r="A398" s="11" t="s">
        <v>1552</v>
      </c>
      <c r="B398" s="44" t="s">
        <v>99</v>
      </c>
      <c r="C398" s="11" t="s">
        <v>100</v>
      </c>
      <c r="D398" s="12" t="s">
        <v>1300</v>
      </c>
      <c r="E398" s="12" t="s">
        <v>1301</v>
      </c>
      <c r="F398" s="13">
        <v>41792</v>
      </c>
      <c r="G398" s="7" t="s">
        <v>46</v>
      </c>
      <c r="H398" s="1" t="str">
        <f t="shared" si="12"/>
        <v>30TVN315550: Cilleruelo de Bezana. Hayedo de Carrales, 981 m. 2-6-2014 [JG235]</v>
      </c>
      <c r="I398" s="14" t="s">
        <v>1289</v>
      </c>
      <c r="J398" s="14" t="s">
        <v>1296</v>
      </c>
      <c r="K398" s="14" t="s">
        <v>1297</v>
      </c>
      <c r="L398" s="15"/>
      <c r="M398" s="7" t="str">
        <f t="shared" si="13"/>
        <v>Conopodium pyrenaeum</v>
      </c>
    </row>
    <row r="399" spans="1:13" ht="15.6" x14ac:dyDescent="0.3">
      <c r="A399" s="11" t="s">
        <v>1552</v>
      </c>
      <c r="B399" s="44" t="s">
        <v>573</v>
      </c>
      <c r="C399" s="11" t="s">
        <v>574</v>
      </c>
      <c r="D399" s="12" t="s">
        <v>1302</v>
      </c>
      <c r="E399" s="12" t="s">
        <v>1303</v>
      </c>
      <c r="F399" s="13">
        <v>41804</v>
      </c>
      <c r="G399" s="7" t="s">
        <v>94</v>
      </c>
      <c r="H399" s="1" t="str">
        <f t="shared" si="12"/>
        <v>30TVN332537: Cilleruelo de Bezana. Hayedo de Carrales, 996 m. 14-6-2014 [JG253]</v>
      </c>
      <c r="I399" s="14" t="s">
        <v>1289</v>
      </c>
      <c r="J399" s="14" t="s">
        <v>1296</v>
      </c>
      <c r="K399" s="14" t="s">
        <v>1297</v>
      </c>
      <c r="L399" s="15"/>
      <c r="M399" s="7" t="str">
        <f t="shared" si="13"/>
        <v>Conopodium pyrenaeum</v>
      </c>
    </row>
    <row r="400" spans="1:13" ht="15.6" x14ac:dyDescent="0.3">
      <c r="A400" s="4" t="s">
        <v>1552</v>
      </c>
      <c r="B400" s="44" t="s">
        <v>21</v>
      </c>
      <c r="C400" s="4" t="s">
        <v>22</v>
      </c>
      <c r="D400" s="5" t="s">
        <v>1304</v>
      </c>
      <c r="E400" s="5" t="s">
        <v>1305</v>
      </c>
      <c r="F400" s="6">
        <v>41799</v>
      </c>
      <c r="G400" s="7" t="s">
        <v>24</v>
      </c>
      <c r="H400" s="1" t="str">
        <f t="shared" si="12"/>
        <v>30TVN383582: San Cibrián. Hayedo, 750 m. 9-6-2014 [JG280]</v>
      </c>
      <c r="I400" s="8" t="s">
        <v>1289</v>
      </c>
      <c r="J400" s="8" t="s">
        <v>1296</v>
      </c>
      <c r="K400" s="8" t="s">
        <v>1297</v>
      </c>
      <c r="L400" s="9"/>
      <c r="M400" s="10" t="str">
        <f t="shared" si="13"/>
        <v>Conopodium pyrenaeum</v>
      </c>
    </row>
    <row r="401" spans="1:13" ht="15.6" x14ac:dyDescent="0.3">
      <c r="A401" s="11" t="s">
        <v>1552</v>
      </c>
      <c r="B401" s="44" t="s">
        <v>131</v>
      </c>
      <c r="C401" s="11" t="s">
        <v>132</v>
      </c>
      <c r="D401" s="12" t="s">
        <v>1306</v>
      </c>
      <c r="E401" s="12" t="s">
        <v>1307</v>
      </c>
      <c r="F401" s="13">
        <v>41808</v>
      </c>
      <c r="G401" s="7" t="s">
        <v>134</v>
      </c>
      <c r="H401" s="1" t="str">
        <f t="shared" si="12"/>
        <v>30TVN355608: Castrillo de Bezana. Melojar, 1007 m. 18-6-2014 [JG306]</v>
      </c>
      <c r="I401" s="14" t="s">
        <v>1289</v>
      </c>
      <c r="J401" s="14" t="s">
        <v>1296</v>
      </c>
      <c r="K401" s="14" t="s">
        <v>1297</v>
      </c>
      <c r="L401" s="15"/>
      <c r="M401" s="7" t="str">
        <f t="shared" si="13"/>
        <v>Conopodium pyrenaeum</v>
      </c>
    </row>
    <row r="402" spans="1:13" ht="15.6" x14ac:dyDescent="0.3">
      <c r="A402" s="11" t="s">
        <v>1552</v>
      </c>
      <c r="B402" s="44" t="s">
        <v>187</v>
      </c>
      <c r="C402" s="11" t="s">
        <v>188</v>
      </c>
      <c r="D402" s="12" t="s">
        <v>1308</v>
      </c>
      <c r="E402" s="12" t="s">
        <v>1309</v>
      </c>
      <c r="F402" s="13">
        <v>41796</v>
      </c>
      <c r="G402" s="7" t="s">
        <v>144</v>
      </c>
      <c r="H402" s="1" t="str">
        <f t="shared" si="12"/>
        <v>30TVN366512: Munilla. Melojar, 764 m. 6-6-2014 [JG333]</v>
      </c>
      <c r="I402" s="14" t="s">
        <v>1289</v>
      </c>
      <c r="J402" s="14" t="s">
        <v>1296</v>
      </c>
      <c r="K402" s="14" t="s">
        <v>1297</v>
      </c>
      <c r="L402" s="7"/>
      <c r="M402" s="7" t="str">
        <f t="shared" si="13"/>
        <v>Conopodium pyrenaeum</v>
      </c>
    </row>
    <row r="403" spans="1:13" ht="15.6" x14ac:dyDescent="0.3">
      <c r="A403" s="11" t="s">
        <v>1552</v>
      </c>
      <c r="B403" s="44" t="s">
        <v>345</v>
      </c>
      <c r="C403" s="11" t="s">
        <v>346</v>
      </c>
      <c r="D403" s="17" t="s">
        <v>1310</v>
      </c>
      <c r="E403" s="12" t="s">
        <v>1311</v>
      </c>
      <c r="F403" s="13">
        <v>41807</v>
      </c>
      <c r="G403" s="7" t="s">
        <v>190</v>
      </c>
      <c r="H403" s="1" t="str">
        <f t="shared" si="12"/>
        <v>30TVN369513: Munilla. Melojar, 805 m. 17-6-2014 [JG345]</v>
      </c>
      <c r="I403" s="14" t="s">
        <v>1289</v>
      </c>
      <c r="J403" s="14" t="s">
        <v>1296</v>
      </c>
      <c r="K403" s="14" t="s">
        <v>1297</v>
      </c>
      <c r="L403" s="15"/>
      <c r="M403" s="7" t="str">
        <f t="shared" si="13"/>
        <v>Conopodium pyrenaeum</v>
      </c>
    </row>
    <row r="404" spans="1:13" ht="15.6" x14ac:dyDescent="0.3">
      <c r="A404" s="4" t="s">
        <v>1553</v>
      </c>
      <c r="B404" s="44" t="s">
        <v>21</v>
      </c>
      <c r="C404" s="4" t="s">
        <v>22</v>
      </c>
      <c r="D404" s="5" t="s">
        <v>1312</v>
      </c>
      <c r="E404" s="5" t="s">
        <v>1313</v>
      </c>
      <c r="F404" s="6">
        <v>41799</v>
      </c>
      <c r="G404" s="7" t="s">
        <v>24</v>
      </c>
      <c r="H404" s="1" t="str">
        <f t="shared" si="12"/>
        <v>30TVN383582: San Cibrián. Hayedo, 750 m. 9-6-2014 [JG281]</v>
      </c>
      <c r="I404" s="8" t="s">
        <v>1289</v>
      </c>
      <c r="J404" s="8" t="s">
        <v>1314</v>
      </c>
      <c r="K404" s="8" t="s">
        <v>1315</v>
      </c>
      <c r="L404" s="9"/>
      <c r="M404" s="10" t="str">
        <f t="shared" si="13"/>
        <v>Sanicula europaea</v>
      </c>
    </row>
    <row r="405" spans="1:13" ht="15.6" x14ac:dyDescent="0.3">
      <c r="A405" s="11" t="s">
        <v>1553</v>
      </c>
      <c r="B405" s="44" t="s">
        <v>131</v>
      </c>
      <c r="C405" s="11" t="s">
        <v>132</v>
      </c>
      <c r="D405" s="17" t="s">
        <v>1316</v>
      </c>
      <c r="E405" s="12" t="s">
        <v>1317</v>
      </c>
      <c r="F405" s="13">
        <v>41808</v>
      </c>
      <c r="G405" s="7" t="s">
        <v>134</v>
      </c>
      <c r="H405" s="1" t="str">
        <f t="shared" si="12"/>
        <v>30TVN355608: Castrillo de Bezana. Melojar, 1007 m. 18-6-2014 [JG307]</v>
      </c>
      <c r="I405" s="14" t="s">
        <v>1289</v>
      </c>
      <c r="J405" s="14" t="s">
        <v>1314</v>
      </c>
      <c r="K405" s="14" t="s">
        <v>1315</v>
      </c>
      <c r="L405" s="15"/>
      <c r="M405" s="7" t="str">
        <f t="shared" si="13"/>
        <v>Sanicula europaea</v>
      </c>
    </row>
    <row r="406" spans="1:13" ht="15.6" x14ac:dyDescent="0.3">
      <c r="A406" s="11" t="s">
        <v>1554</v>
      </c>
      <c r="B406" s="44" t="s">
        <v>345</v>
      </c>
      <c r="C406" s="11" t="s">
        <v>346</v>
      </c>
      <c r="D406" s="11" t="s">
        <v>1318</v>
      </c>
      <c r="E406" s="12" t="s">
        <v>1319</v>
      </c>
      <c r="F406" s="13">
        <v>41807</v>
      </c>
      <c r="G406" s="7" t="s">
        <v>190</v>
      </c>
      <c r="H406" s="1" t="str">
        <f t="shared" si="12"/>
        <v>30TVN369513: Munilla. Melojar, 805 m. 17-6-2014 [JG346]</v>
      </c>
      <c r="I406" s="14" t="s">
        <v>1289</v>
      </c>
      <c r="J406" s="14" t="s">
        <v>1320</v>
      </c>
      <c r="K406" s="14" t="s">
        <v>462</v>
      </c>
      <c r="L406" s="15"/>
      <c r="M406" s="7" t="str">
        <f t="shared" si="13"/>
        <v>Thapsia villosa</v>
      </c>
    </row>
    <row r="407" spans="1:13" ht="15.6" x14ac:dyDescent="0.3">
      <c r="A407" s="11" t="s">
        <v>1555</v>
      </c>
      <c r="B407" s="44" t="s">
        <v>131</v>
      </c>
      <c r="C407" s="11" t="s">
        <v>132</v>
      </c>
      <c r="D407" s="12" t="s">
        <v>1321</v>
      </c>
      <c r="E407" s="12" t="s">
        <v>1322</v>
      </c>
      <c r="F407" s="13">
        <v>41808</v>
      </c>
      <c r="G407" s="7" t="s">
        <v>134</v>
      </c>
      <c r="H407" s="1" t="str">
        <f t="shared" si="12"/>
        <v>30TVN355608: Castrillo de Bezana. Melojar, 1007 m. 18-6-2014 [JG308]</v>
      </c>
      <c r="I407" s="14" t="s">
        <v>1323</v>
      </c>
      <c r="J407" s="14" t="s">
        <v>1324</v>
      </c>
      <c r="K407" s="14" t="s">
        <v>1325</v>
      </c>
      <c r="L407" s="15"/>
      <c r="M407" s="7" t="str">
        <f t="shared" si="13"/>
        <v>Urtica dioica</v>
      </c>
    </row>
    <row r="408" spans="1:13" ht="15.6" x14ac:dyDescent="0.3">
      <c r="A408" s="11" t="s">
        <v>1556</v>
      </c>
      <c r="B408" s="44" t="s">
        <v>35</v>
      </c>
      <c r="C408" s="11" t="s">
        <v>36</v>
      </c>
      <c r="D408" s="12" t="s">
        <v>1326</v>
      </c>
      <c r="E408" s="12" t="s">
        <v>1327</v>
      </c>
      <c r="F408" s="13">
        <v>41746</v>
      </c>
      <c r="G408" s="7" t="s">
        <v>230</v>
      </c>
      <c r="H408" s="1" t="str">
        <f t="shared" si="12"/>
        <v>30TVN324545: Cilleruelo de Bezana. Hayedo de Carrales, 962 m. 17-4-2014 [JG229]</v>
      </c>
      <c r="I408" s="14" t="s">
        <v>1328</v>
      </c>
      <c r="J408" s="14" t="s">
        <v>1329</v>
      </c>
      <c r="K408" s="14" t="s">
        <v>1330</v>
      </c>
      <c r="L408" s="15"/>
      <c r="M408" s="7" t="str">
        <f t="shared" si="13"/>
        <v>Viola riviniana</v>
      </c>
    </row>
    <row r="409" spans="1:13" ht="15.6" x14ac:dyDescent="0.3">
      <c r="A409" s="11" t="s">
        <v>1556</v>
      </c>
      <c r="B409" s="44" t="s">
        <v>99</v>
      </c>
      <c r="C409" s="11" t="s">
        <v>100</v>
      </c>
      <c r="D409" s="12" t="s">
        <v>1331</v>
      </c>
      <c r="E409" s="12" t="s">
        <v>1332</v>
      </c>
      <c r="F409" s="13">
        <v>41792</v>
      </c>
      <c r="G409" s="7" t="s">
        <v>46</v>
      </c>
      <c r="H409" s="1" t="str">
        <f t="shared" si="12"/>
        <v>30TVN315550: Cilleruelo de Bezana. Hayedo de Carrales, 981 m. 2-6-2014 [JG236]</v>
      </c>
      <c r="I409" s="14" t="s">
        <v>1328</v>
      </c>
      <c r="J409" s="14" t="s">
        <v>1329</v>
      </c>
      <c r="K409" s="14" t="s">
        <v>1330</v>
      </c>
      <c r="L409" s="15"/>
      <c r="M409" s="7" t="str">
        <f t="shared" si="13"/>
        <v>Viola riviniana</v>
      </c>
    </row>
    <row r="410" spans="1:13" ht="15.6" x14ac:dyDescent="0.3">
      <c r="A410" s="11" t="s">
        <v>1556</v>
      </c>
      <c r="B410" s="44" t="s">
        <v>125</v>
      </c>
      <c r="C410" s="11" t="s">
        <v>126</v>
      </c>
      <c r="D410" s="12" t="s">
        <v>1333</v>
      </c>
      <c r="E410" s="12" t="s">
        <v>1334</v>
      </c>
      <c r="F410" s="13">
        <v>41792</v>
      </c>
      <c r="G410" s="7" t="s">
        <v>46</v>
      </c>
      <c r="H410" s="1" t="str">
        <f t="shared" si="12"/>
        <v>30TVN361561: Torres de Abajo. Hayedo, 874 m. 2-6-2014 [JG260]</v>
      </c>
      <c r="I410" s="14" t="s">
        <v>1328</v>
      </c>
      <c r="J410" s="14" t="s">
        <v>1329</v>
      </c>
      <c r="K410" s="14" t="s">
        <v>1330</v>
      </c>
      <c r="L410" s="16"/>
      <c r="M410" s="7" t="str">
        <f t="shared" si="13"/>
        <v>Viola riviniana</v>
      </c>
    </row>
    <row r="411" spans="1:13" ht="15.6" x14ac:dyDescent="0.3">
      <c r="A411" s="11" t="s">
        <v>1557</v>
      </c>
      <c r="B411" s="44" t="s">
        <v>131</v>
      </c>
      <c r="C411" s="11" t="s">
        <v>132</v>
      </c>
      <c r="D411" s="11" t="s">
        <v>1335</v>
      </c>
      <c r="E411" s="12" t="s">
        <v>1336</v>
      </c>
      <c r="F411" s="13">
        <v>41808</v>
      </c>
      <c r="G411" s="7" t="s">
        <v>134</v>
      </c>
      <c r="H411" s="1" t="str">
        <f t="shared" si="12"/>
        <v>30TVN355608: Castrillo de Bezana. Melojar, 1007 m. 18-6-2014 [JG309]</v>
      </c>
      <c r="I411" s="14" t="s">
        <v>1337</v>
      </c>
      <c r="J411" s="14" t="s">
        <v>1338</v>
      </c>
      <c r="K411" s="14" t="s">
        <v>1339</v>
      </c>
      <c r="L411" s="15"/>
      <c r="M411" s="7" t="str">
        <f t="shared" si="13"/>
        <v>Viscum album subsp. album</v>
      </c>
    </row>
  </sheetData>
  <pageMargins left="0.7" right="0.7" top="0.75" bottom="0.75" header="0.3" footer="0.3"/>
  <pageSetup paperSize="9" orientation="portrait"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4811-7B61-4E1D-9477-7C1DA52A3F91}">
  <dimension ref="A1:D411"/>
  <sheetViews>
    <sheetView tabSelected="1" topLeftCell="A385" workbookViewId="0">
      <selection activeCell="A411" sqref="A411"/>
    </sheetView>
  </sheetViews>
  <sheetFormatPr baseColWidth="10" defaultRowHeight="14.4" x14ac:dyDescent="0.3"/>
  <cols>
    <col min="1" max="1" width="41" bestFit="1" customWidth="1"/>
    <col min="2" max="2" width="14" customWidth="1"/>
  </cols>
  <sheetData>
    <row r="1" spans="1:4" x14ac:dyDescent="0.3">
      <c r="A1" s="37" t="s">
        <v>1558</v>
      </c>
      <c r="B1" s="38" t="s">
        <v>1630</v>
      </c>
      <c r="C1" t="s">
        <v>1631</v>
      </c>
      <c r="D1" t="s">
        <v>1632</v>
      </c>
    </row>
    <row r="2" spans="1:4" x14ac:dyDescent="0.3">
      <c r="A2" s="4" t="s">
        <v>1340</v>
      </c>
      <c r="B2" s="44" t="s">
        <v>13</v>
      </c>
      <c r="C2" t="str">
        <f>_xlfn.CONCAT(MID(B2,1,7),MID(B2,9,2))</f>
        <v>30TVN3355</v>
      </c>
      <c r="D2" t="str">
        <f>_xlfn.CONCAT(MID(B2,1,6),MID(B2,9,1))</f>
        <v>30TVN35</v>
      </c>
    </row>
    <row r="3" spans="1:4" x14ac:dyDescent="0.3">
      <c r="A3" s="4" t="s">
        <v>1341</v>
      </c>
      <c r="B3" s="44" t="s">
        <v>21</v>
      </c>
      <c r="C3" t="str">
        <f t="shared" ref="C3:C66" si="0">_xlfn.CONCAT(MID(B3,1,7),MID(B3,9,2))</f>
        <v>30TVN3858</v>
      </c>
      <c r="D3" t="str">
        <f t="shared" ref="D3:D66" si="1">_xlfn.CONCAT(MID(B3,1,6),MID(B3,9,1))</f>
        <v>30TVN35</v>
      </c>
    </row>
    <row r="4" spans="1:4" x14ac:dyDescent="0.3">
      <c r="A4" s="4" t="s">
        <v>1342</v>
      </c>
      <c r="B4" s="44" t="s">
        <v>29</v>
      </c>
      <c r="C4" t="str">
        <f t="shared" si="0"/>
        <v>30TVN3659</v>
      </c>
      <c r="D4" t="str">
        <f t="shared" si="1"/>
        <v>30TVN35</v>
      </c>
    </row>
    <row r="5" spans="1:4" x14ac:dyDescent="0.3">
      <c r="A5" s="11" t="s">
        <v>1343</v>
      </c>
      <c r="B5" s="44" t="s">
        <v>35</v>
      </c>
      <c r="C5" t="str">
        <f t="shared" si="0"/>
        <v>30TVN3254</v>
      </c>
      <c r="D5" t="str">
        <f t="shared" si="1"/>
        <v>30TVN35</v>
      </c>
    </row>
    <row r="6" spans="1:4" x14ac:dyDescent="0.3">
      <c r="A6" s="11" t="s">
        <v>1563</v>
      </c>
      <c r="B6" s="44" t="s">
        <v>43</v>
      </c>
      <c r="C6" t="str">
        <f t="shared" si="0"/>
        <v>30TVN3857</v>
      </c>
      <c r="D6" t="str">
        <f t="shared" si="1"/>
        <v>30TVN35</v>
      </c>
    </row>
    <row r="7" spans="1:4" x14ac:dyDescent="0.3">
      <c r="A7" s="11" t="s">
        <v>1563</v>
      </c>
      <c r="B7" s="44" t="s">
        <v>51</v>
      </c>
      <c r="C7" t="str">
        <f t="shared" si="0"/>
        <v>30TVN3957</v>
      </c>
      <c r="D7" t="str">
        <f t="shared" si="1"/>
        <v>30TVN35</v>
      </c>
    </row>
    <row r="8" spans="1:4" x14ac:dyDescent="0.3">
      <c r="A8" s="11" t="s">
        <v>1345</v>
      </c>
      <c r="B8" s="44" t="s">
        <v>55</v>
      </c>
      <c r="C8" t="str">
        <f t="shared" si="0"/>
        <v>30TVN3655</v>
      </c>
      <c r="D8" t="str">
        <f t="shared" si="1"/>
        <v>30TVN35</v>
      </c>
    </row>
    <row r="9" spans="1:4" x14ac:dyDescent="0.3">
      <c r="A9" s="11" t="s">
        <v>1345</v>
      </c>
      <c r="B9" s="44" t="s">
        <v>63</v>
      </c>
      <c r="C9" t="str">
        <f t="shared" si="0"/>
        <v>30TVN4053</v>
      </c>
      <c r="D9" t="str">
        <f t="shared" si="1"/>
        <v>30TVN45</v>
      </c>
    </row>
    <row r="10" spans="1:4" x14ac:dyDescent="0.3">
      <c r="A10" s="11" t="s">
        <v>1345</v>
      </c>
      <c r="B10" s="44" t="s">
        <v>68</v>
      </c>
      <c r="C10" t="str">
        <f t="shared" si="0"/>
        <v>30TVN3754</v>
      </c>
      <c r="D10" t="str">
        <f t="shared" si="1"/>
        <v>30TVN35</v>
      </c>
    </row>
    <row r="11" spans="1:4" x14ac:dyDescent="0.3">
      <c r="A11" s="11" t="s">
        <v>1346</v>
      </c>
      <c r="B11" s="44" t="s">
        <v>73</v>
      </c>
      <c r="C11" t="str">
        <f t="shared" si="0"/>
        <v>30TVN4053</v>
      </c>
      <c r="D11" t="str">
        <f t="shared" si="1"/>
        <v>30TVN45</v>
      </c>
    </row>
    <row r="12" spans="1:4" x14ac:dyDescent="0.3">
      <c r="A12" s="11" t="s">
        <v>1347</v>
      </c>
      <c r="B12" s="44" t="s">
        <v>43</v>
      </c>
      <c r="C12" t="str">
        <f t="shared" si="0"/>
        <v>30TVN3857</v>
      </c>
      <c r="D12" t="str">
        <f t="shared" si="1"/>
        <v>30TVN35</v>
      </c>
    </row>
    <row r="13" spans="1:4" x14ac:dyDescent="0.3">
      <c r="A13" s="11" t="s">
        <v>1564</v>
      </c>
      <c r="B13" s="44" t="s">
        <v>83</v>
      </c>
      <c r="C13" t="str">
        <f t="shared" si="0"/>
        <v>30TVN3554</v>
      </c>
      <c r="D13" t="str">
        <f t="shared" si="1"/>
        <v>30TVN35</v>
      </c>
    </row>
    <row r="14" spans="1:4" x14ac:dyDescent="0.3">
      <c r="A14" s="11" t="s">
        <v>1349</v>
      </c>
      <c r="B14" s="44" t="s">
        <v>91</v>
      </c>
      <c r="C14" t="str">
        <f t="shared" si="0"/>
        <v>30TVN3353</v>
      </c>
      <c r="D14" t="str">
        <f t="shared" si="1"/>
        <v>30TVN35</v>
      </c>
    </row>
    <row r="15" spans="1:4" x14ac:dyDescent="0.3">
      <c r="A15" s="11" t="s">
        <v>1565</v>
      </c>
      <c r="B15" s="44" t="s">
        <v>99</v>
      </c>
      <c r="C15" t="str">
        <f t="shared" si="0"/>
        <v>30TVN3155</v>
      </c>
      <c r="D15" t="str">
        <f t="shared" si="1"/>
        <v>30TVN35</v>
      </c>
    </row>
    <row r="16" spans="1:4" x14ac:dyDescent="0.3">
      <c r="A16" s="11" t="s">
        <v>1351</v>
      </c>
      <c r="B16" s="44" t="s">
        <v>55</v>
      </c>
      <c r="C16" t="str">
        <f t="shared" si="0"/>
        <v>30TVN3655</v>
      </c>
      <c r="D16" t="str">
        <f t="shared" si="1"/>
        <v>30TVN35</v>
      </c>
    </row>
    <row r="17" spans="1:4" x14ac:dyDescent="0.3">
      <c r="A17" s="11" t="s">
        <v>1351</v>
      </c>
      <c r="B17" s="44" t="s">
        <v>83</v>
      </c>
      <c r="C17" t="str">
        <f t="shared" si="0"/>
        <v>30TVN3554</v>
      </c>
      <c r="D17" t="str">
        <f t="shared" si="1"/>
        <v>30TVN35</v>
      </c>
    </row>
    <row r="18" spans="1:4" x14ac:dyDescent="0.3">
      <c r="A18" s="4" t="s">
        <v>1566</v>
      </c>
      <c r="B18" s="44" t="s">
        <v>21</v>
      </c>
      <c r="C18" t="str">
        <f t="shared" si="0"/>
        <v>30TVN3858</v>
      </c>
      <c r="D18" t="str">
        <f t="shared" si="1"/>
        <v>30TVN35</v>
      </c>
    </row>
    <row r="19" spans="1:4" x14ac:dyDescent="0.3">
      <c r="A19" s="4" t="s">
        <v>1353</v>
      </c>
      <c r="B19" s="44" t="s">
        <v>118</v>
      </c>
      <c r="C19" t="str">
        <f t="shared" si="0"/>
        <v>30TVN3059</v>
      </c>
      <c r="D19" t="str">
        <f t="shared" si="1"/>
        <v>30TVN35</v>
      </c>
    </row>
    <row r="20" spans="1:4" x14ac:dyDescent="0.3">
      <c r="A20" s="11" t="s">
        <v>1567</v>
      </c>
      <c r="B20" s="44" t="s">
        <v>125</v>
      </c>
      <c r="C20" t="str">
        <f t="shared" si="0"/>
        <v>30TVN3656</v>
      </c>
      <c r="D20" t="str">
        <f t="shared" si="1"/>
        <v>30TVN35</v>
      </c>
    </row>
    <row r="21" spans="1:4" x14ac:dyDescent="0.3">
      <c r="A21" s="11" t="s">
        <v>1567</v>
      </c>
      <c r="B21" s="44" t="s">
        <v>131</v>
      </c>
      <c r="C21" t="str">
        <f t="shared" si="0"/>
        <v>30TVN3560</v>
      </c>
      <c r="D21" t="str">
        <f t="shared" si="1"/>
        <v>30TVN36</v>
      </c>
    </row>
    <row r="22" spans="1:4" x14ac:dyDescent="0.3">
      <c r="A22" s="4" t="s">
        <v>1355</v>
      </c>
      <c r="B22" s="44" t="s">
        <v>29</v>
      </c>
      <c r="C22" t="str">
        <f t="shared" si="0"/>
        <v>30TVN3659</v>
      </c>
      <c r="D22" t="str">
        <f t="shared" si="1"/>
        <v>30TVN35</v>
      </c>
    </row>
    <row r="23" spans="1:4" x14ac:dyDescent="0.3">
      <c r="A23" s="4" t="s">
        <v>1356</v>
      </c>
      <c r="B23" s="44" t="s">
        <v>141</v>
      </c>
      <c r="C23" t="str">
        <f t="shared" si="0"/>
        <v>30TVN3551</v>
      </c>
      <c r="D23" t="str">
        <f t="shared" si="1"/>
        <v>30TVN35</v>
      </c>
    </row>
    <row r="24" spans="1:4" x14ac:dyDescent="0.3">
      <c r="A24" s="11" t="s">
        <v>1357</v>
      </c>
      <c r="B24" s="44" t="s">
        <v>148</v>
      </c>
      <c r="C24" t="str">
        <f t="shared" si="0"/>
        <v>30TVN3754</v>
      </c>
      <c r="D24" t="str">
        <f t="shared" si="1"/>
        <v>30TVN35</v>
      </c>
    </row>
    <row r="25" spans="1:4" x14ac:dyDescent="0.3">
      <c r="A25" s="11" t="s">
        <v>1357</v>
      </c>
      <c r="B25" s="44" t="s">
        <v>154</v>
      </c>
      <c r="C25" t="str">
        <f t="shared" si="0"/>
        <v>30TVN3951</v>
      </c>
      <c r="D25" t="str">
        <f t="shared" si="1"/>
        <v>30TVN35</v>
      </c>
    </row>
    <row r="26" spans="1:4" x14ac:dyDescent="0.3">
      <c r="A26" s="4" t="s">
        <v>1358</v>
      </c>
      <c r="B26" s="44" t="s">
        <v>141</v>
      </c>
      <c r="C26" t="str">
        <f t="shared" si="0"/>
        <v>30TVN3551</v>
      </c>
      <c r="D26" t="str">
        <f t="shared" si="1"/>
        <v>30TVN35</v>
      </c>
    </row>
    <row r="27" spans="1:4" x14ac:dyDescent="0.3">
      <c r="A27" s="11" t="s">
        <v>1359</v>
      </c>
      <c r="B27" s="44" t="s">
        <v>51</v>
      </c>
      <c r="C27" t="str">
        <f t="shared" si="0"/>
        <v>30TVN3957</v>
      </c>
      <c r="D27" t="str">
        <f t="shared" si="1"/>
        <v>30TVN35</v>
      </c>
    </row>
    <row r="28" spans="1:4" x14ac:dyDescent="0.3">
      <c r="A28" s="4" t="s">
        <v>1568</v>
      </c>
      <c r="B28" s="44" t="s">
        <v>21</v>
      </c>
      <c r="C28" t="str">
        <f t="shared" si="0"/>
        <v>30TVN3858</v>
      </c>
      <c r="D28" t="str">
        <f t="shared" si="1"/>
        <v>30TVN35</v>
      </c>
    </row>
    <row r="29" spans="1:4" x14ac:dyDescent="0.3">
      <c r="A29" s="11" t="s">
        <v>1568</v>
      </c>
      <c r="B29" s="44" t="s">
        <v>43</v>
      </c>
      <c r="C29" t="str">
        <f t="shared" si="0"/>
        <v>30TVN3857</v>
      </c>
      <c r="D29" t="str">
        <f t="shared" si="1"/>
        <v>30TVN35</v>
      </c>
    </row>
    <row r="30" spans="1:4" x14ac:dyDescent="0.3">
      <c r="A30" s="11" t="s">
        <v>1361</v>
      </c>
      <c r="B30" s="44" t="s">
        <v>172</v>
      </c>
      <c r="C30" t="str">
        <f t="shared" si="0"/>
        <v>30TVN3652</v>
      </c>
      <c r="D30" t="str">
        <f t="shared" si="1"/>
        <v>30TVN35</v>
      </c>
    </row>
    <row r="31" spans="1:4" x14ac:dyDescent="0.3">
      <c r="A31" s="11" t="s">
        <v>1569</v>
      </c>
      <c r="B31" s="44" t="s">
        <v>55</v>
      </c>
      <c r="C31" t="str">
        <f t="shared" si="0"/>
        <v>30TVN3655</v>
      </c>
      <c r="D31" t="str">
        <f t="shared" si="1"/>
        <v>30TVN35</v>
      </c>
    </row>
    <row r="32" spans="1:4" x14ac:dyDescent="0.3">
      <c r="A32" s="11" t="s">
        <v>1569</v>
      </c>
      <c r="B32" s="44" t="s">
        <v>83</v>
      </c>
      <c r="C32" t="str">
        <f t="shared" si="0"/>
        <v>30TVN3554</v>
      </c>
      <c r="D32" t="str">
        <f t="shared" si="1"/>
        <v>30TVN35</v>
      </c>
    </row>
    <row r="33" spans="1:4" x14ac:dyDescent="0.3">
      <c r="A33" s="11" t="s">
        <v>1569</v>
      </c>
      <c r="B33" s="44" t="s">
        <v>68</v>
      </c>
      <c r="C33" t="str">
        <f t="shared" si="0"/>
        <v>30TVN3754</v>
      </c>
      <c r="D33" t="str">
        <f t="shared" si="1"/>
        <v>30TVN35</v>
      </c>
    </row>
    <row r="34" spans="1:4" x14ac:dyDescent="0.3">
      <c r="A34" s="11" t="s">
        <v>1569</v>
      </c>
      <c r="B34" s="44" t="s">
        <v>187</v>
      </c>
      <c r="C34" t="str">
        <f t="shared" si="0"/>
        <v>30TVN3651</v>
      </c>
      <c r="D34" t="str">
        <f t="shared" si="1"/>
        <v>30TVN35</v>
      </c>
    </row>
    <row r="35" spans="1:4" x14ac:dyDescent="0.3">
      <c r="A35" s="11" t="s">
        <v>1569</v>
      </c>
      <c r="B35" s="44" t="s">
        <v>192</v>
      </c>
      <c r="C35" t="str">
        <f t="shared" si="0"/>
        <v>30TVN3259</v>
      </c>
      <c r="D35" t="str">
        <f t="shared" si="1"/>
        <v>30TVN35</v>
      </c>
    </row>
    <row r="36" spans="1:4" x14ac:dyDescent="0.3">
      <c r="A36" s="4" t="s">
        <v>1569</v>
      </c>
      <c r="B36" s="44" t="s">
        <v>118</v>
      </c>
      <c r="C36" t="str">
        <f t="shared" si="0"/>
        <v>30TVN3059</v>
      </c>
      <c r="D36" t="str">
        <f t="shared" si="1"/>
        <v>30TVN35</v>
      </c>
    </row>
    <row r="37" spans="1:4" x14ac:dyDescent="0.3">
      <c r="A37" s="11" t="s">
        <v>1569</v>
      </c>
      <c r="B37" s="44" t="s">
        <v>200</v>
      </c>
      <c r="C37" t="str">
        <f t="shared" si="0"/>
        <v>30TVN3159</v>
      </c>
      <c r="D37" t="str">
        <f t="shared" si="1"/>
        <v>30TVN35</v>
      </c>
    </row>
    <row r="38" spans="1:4" x14ac:dyDescent="0.3">
      <c r="A38" s="11" t="s">
        <v>1363</v>
      </c>
      <c r="B38" s="44" t="s">
        <v>187</v>
      </c>
      <c r="C38" t="str">
        <f t="shared" si="0"/>
        <v>30TVN3651</v>
      </c>
      <c r="D38" t="str">
        <f t="shared" si="1"/>
        <v>30TVN35</v>
      </c>
    </row>
    <row r="39" spans="1:4" x14ac:dyDescent="0.3">
      <c r="A39" s="11" t="s">
        <v>1570</v>
      </c>
      <c r="B39" s="44" t="s">
        <v>63</v>
      </c>
      <c r="C39" t="str">
        <f t="shared" si="0"/>
        <v>30TVN4053</v>
      </c>
      <c r="D39" t="str">
        <f t="shared" si="1"/>
        <v>30TVN45</v>
      </c>
    </row>
    <row r="40" spans="1:4" x14ac:dyDescent="0.3">
      <c r="A40" s="11" t="s">
        <v>1570</v>
      </c>
      <c r="B40" s="44" t="s">
        <v>68</v>
      </c>
      <c r="C40" t="str">
        <f t="shared" si="0"/>
        <v>30TVN3754</v>
      </c>
      <c r="D40" t="str">
        <f t="shared" si="1"/>
        <v>30TVN35</v>
      </c>
    </row>
    <row r="41" spans="1:4" x14ac:dyDescent="0.3">
      <c r="A41" s="11" t="s">
        <v>1365</v>
      </c>
      <c r="B41" s="44" t="s">
        <v>43</v>
      </c>
      <c r="C41" t="str">
        <f t="shared" si="0"/>
        <v>30TVN3857</v>
      </c>
      <c r="D41" t="str">
        <f t="shared" si="1"/>
        <v>30TVN35</v>
      </c>
    </row>
    <row r="42" spans="1:4" x14ac:dyDescent="0.3">
      <c r="A42" s="11" t="s">
        <v>1571</v>
      </c>
      <c r="B42" s="44" t="s">
        <v>172</v>
      </c>
      <c r="C42" t="str">
        <f t="shared" si="0"/>
        <v>30TVN3652</v>
      </c>
      <c r="D42" t="str">
        <f t="shared" si="1"/>
        <v>30TVN35</v>
      </c>
    </row>
    <row r="43" spans="1:4" x14ac:dyDescent="0.3">
      <c r="A43" s="4" t="s">
        <v>1367</v>
      </c>
      <c r="B43" s="44" t="s">
        <v>223</v>
      </c>
      <c r="C43" t="str">
        <f t="shared" si="0"/>
        <v>30TVN2856</v>
      </c>
      <c r="D43" t="str">
        <f t="shared" si="1"/>
        <v>30TVN25</v>
      </c>
    </row>
    <row r="44" spans="1:4" x14ac:dyDescent="0.3">
      <c r="A44" s="11" t="s">
        <v>1367</v>
      </c>
      <c r="B44" s="44" t="s">
        <v>35</v>
      </c>
      <c r="C44" t="str">
        <f t="shared" si="0"/>
        <v>30TVN3254</v>
      </c>
      <c r="D44" t="str">
        <f t="shared" si="1"/>
        <v>30TVN35</v>
      </c>
    </row>
    <row r="45" spans="1:4" x14ac:dyDescent="0.3">
      <c r="A45" s="11" t="s">
        <v>1367</v>
      </c>
      <c r="B45" s="44" t="s">
        <v>131</v>
      </c>
      <c r="C45" t="str">
        <f t="shared" si="0"/>
        <v>30TVN3560</v>
      </c>
      <c r="D45" t="str">
        <f t="shared" si="1"/>
        <v>30TVN36</v>
      </c>
    </row>
    <row r="46" spans="1:4" x14ac:dyDescent="0.3">
      <c r="A46" s="4" t="s">
        <v>1367</v>
      </c>
      <c r="B46" s="44" t="s">
        <v>118</v>
      </c>
      <c r="C46" t="str">
        <f t="shared" si="0"/>
        <v>30TVN3059</v>
      </c>
      <c r="D46" t="str">
        <f t="shared" si="1"/>
        <v>30TVN35</v>
      </c>
    </row>
    <row r="47" spans="1:4" x14ac:dyDescent="0.3">
      <c r="A47" s="11" t="s">
        <v>1367</v>
      </c>
      <c r="B47" s="44" t="s">
        <v>236</v>
      </c>
      <c r="C47" t="str">
        <f t="shared" si="0"/>
        <v>30TVN3059</v>
      </c>
      <c r="D47" t="str">
        <f t="shared" si="1"/>
        <v>30TVN35</v>
      </c>
    </row>
    <row r="48" spans="1:4" x14ac:dyDescent="0.3">
      <c r="A48" s="11" t="s">
        <v>1368</v>
      </c>
      <c r="B48" s="44" t="s">
        <v>55</v>
      </c>
      <c r="C48" t="str">
        <f t="shared" si="0"/>
        <v>30TVN3655</v>
      </c>
      <c r="D48" t="str">
        <f t="shared" si="1"/>
        <v>30TVN35</v>
      </c>
    </row>
    <row r="49" spans="1:4" x14ac:dyDescent="0.3">
      <c r="A49" s="11" t="s">
        <v>1369</v>
      </c>
      <c r="B49" s="44" t="s">
        <v>68</v>
      </c>
      <c r="C49" t="str">
        <f t="shared" si="0"/>
        <v>30TVN3754</v>
      </c>
      <c r="D49" t="str">
        <f t="shared" si="1"/>
        <v>30TVN35</v>
      </c>
    </row>
    <row r="50" spans="1:4" x14ac:dyDescent="0.3">
      <c r="A50" s="4" t="s">
        <v>1370</v>
      </c>
      <c r="B50" s="44" t="s">
        <v>29</v>
      </c>
      <c r="C50" t="str">
        <f t="shared" si="0"/>
        <v>30TVN3659</v>
      </c>
      <c r="D50" t="str">
        <f t="shared" si="1"/>
        <v>30TVN35</v>
      </c>
    </row>
    <row r="51" spans="1:4" x14ac:dyDescent="0.3">
      <c r="A51" s="4" t="s">
        <v>1370</v>
      </c>
      <c r="B51" s="44" t="s">
        <v>223</v>
      </c>
      <c r="C51" t="str">
        <f t="shared" si="0"/>
        <v>30TVN2856</v>
      </c>
      <c r="D51" t="str">
        <f t="shared" si="1"/>
        <v>30TVN25</v>
      </c>
    </row>
    <row r="52" spans="1:4" x14ac:dyDescent="0.3">
      <c r="A52" s="11" t="s">
        <v>1572</v>
      </c>
      <c r="B52" s="44" t="s">
        <v>83</v>
      </c>
      <c r="C52" t="str">
        <f t="shared" si="0"/>
        <v>30TVN3554</v>
      </c>
      <c r="D52" t="str">
        <f t="shared" si="1"/>
        <v>30TVN35</v>
      </c>
    </row>
    <row r="53" spans="1:4" x14ac:dyDescent="0.3">
      <c r="A53" s="11" t="s">
        <v>1572</v>
      </c>
      <c r="B53" s="44" t="s">
        <v>148</v>
      </c>
      <c r="C53" t="str">
        <f t="shared" si="0"/>
        <v>30TVN3754</v>
      </c>
      <c r="D53" t="str">
        <f t="shared" si="1"/>
        <v>30TVN35</v>
      </c>
    </row>
    <row r="54" spans="1:4" x14ac:dyDescent="0.3">
      <c r="A54" s="11" t="s">
        <v>1572</v>
      </c>
      <c r="B54" s="44" t="s">
        <v>154</v>
      </c>
      <c r="C54" t="str">
        <f t="shared" si="0"/>
        <v>30TVN3951</v>
      </c>
      <c r="D54" t="str">
        <f t="shared" si="1"/>
        <v>30TVN35</v>
      </c>
    </row>
    <row r="55" spans="1:4" x14ac:dyDescent="0.3">
      <c r="A55" s="11" t="s">
        <v>1372</v>
      </c>
      <c r="B55" s="44" t="s">
        <v>63</v>
      </c>
      <c r="C55" t="str">
        <f t="shared" si="0"/>
        <v>30TVN4053</v>
      </c>
      <c r="D55" t="str">
        <f t="shared" si="1"/>
        <v>30TVN45</v>
      </c>
    </row>
    <row r="56" spans="1:4" x14ac:dyDescent="0.3">
      <c r="A56" s="11" t="s">
        <v>1372</v>
      </c>
      <c r="B56" s="44" t="s">
        <v>267</v>
      </c>
      <c r="C56" t="str">
        <f t="shared" si="0"/>
        <v>30TVN3653</v>
      </c>
      <c r="D56" t="str">
        <f t="shared" si="1"/>
        <v>30TVN35</v>
      </c>
    </row>
    <row r="57" spans="1:4" x14ac:dyDescent="0.3">
      <c r="A57" s="11" t="s">
        <v>1373</v>
      </c>
      <c r="B57" s="44" t="s">
        <v>68</v>
      </c>
      <c r="C57" t="str">
        <f t="shared" si="0"/>
        <v>30TVN3754</v>
      </c>
      <c r="D57" t="str">
        <f t="shared" si="1"/>
        <v>30TVN35</v>
      </c>
    </row>
    <row r="58" spans="1:4" x14ac:dyDescent="0.3">
      <c r="A58" s="11" t="s">
        <v>1374</v>
      </c>
      <c r="B58" s="44" t="s">
        <v>83</v>
      </c>
      <c r="C58" t="str">
        <f t="shared" si="0"/>
        <v>30TVN3554</v>
      </c>
      <c r="D58" t="str">
        <f t="shared" si="1"/>
        <v>30TVN35</v>
      </c>
    </row>
    <row r="59" spans="1:4" x14ac:dyDescent="0.3">
      <c r="A59" s="4" t="s">
        <v>1374</v>
      </c>
      <c r="B59" s="44" t="s">
        <v>223</v>
      </c>
      <c r="C59" t="str">
        <f t="shared" si="0"/>
        <v>30TVN2856</v>
      </c>
      <c r="D59" t="str">
        <f t="shared" si="1"/>
        <v>30TVN25</v>
      </c>
    </row>
    <row r="60" spans="1:4" x14ac:dyDescent="0.3">
      <c r="A60" s="11" t="s">
        <v>1375</v>
      </c>
      <c r="B60" s="44" t="s">
        <v>172</v>
      </c>
      <c r="C60" t="str">
        <f t="shared" si="0"/>
        <v>30TVN3652</v>
      </c>
      <c r="D60" t="str">
        <f t="shared" si="1"/>
        <v>30TVN35</v>
      </c>
    </row>
    <row r="61" spans="1:4" x14ac:dyDescent="0.3">
      <c r="A61" s="4" t="s">
        <v>1376</v>
      </c>
      <c r="B61" s="44" t="s">
        <v>29</v>
      </c>
      <c r="C61" t="str">
        <f t="shared" si="0"/>
        <v>30TVN3659</v>
      </c>
      <c r="D61" t="str">
        <f t="shared" si="1"/>
        <v>30TVN35</v>
      </c>
    </row>
    <row r="62" spans="1:4" x14ac:dyDescent="0.3">
      <c r="A62" s="11" t="s">
        <v>1376</v>
      </c>
      <c r="B62" s="44" t="s">
        <v>172</v>
      </c>
      <c r="C62" t="str">
        <f t="shared" si="0"/>
        <v>30TVN3652</v>
      </c>
      <c r="D62" t="str">
        <f t="shared" si="1"/>
        <v>30TVN35</v>
      </c>
    </row>
    <row r="63" spans="1:4" x14ac:dyDescent="0.3">
      <c r="A63" s="11" t="s">
        <v>1377</v>
      </c>
      <c r="B63" s="44" t="s">
        <v>73</v>
      </c>
      <c r="C63" t="str">
        <f t="shared" si="0"/>
        <v>30TVN4053</v>
      </c>
      <c r="D63" t="str">
        <f t="shared" si="1"/>
        <v>30TVN45</v>
      </c>
    </row>
    <row r="64" spans="1:4" x14ac:dyDescent="0.3">
      <c r="A64" s="11" t="s">
        <v>1573</v>
      </c>
      <c r="B64" s="44" t="s">
        <v>63</v>
      </c>
      <c r="C64" t="str">
        <f t="shared" si="0"/>
        <v>30TVN4053</v>
      </c>
      <c r="D64" t="str">
        <f t="shared" si="1"/>
        <v>30TVN45</v>
      </c>
    </row>
    <row r="65" spans="1:4" x14ac:dyDescent="0.3">
      <c r="A65" s="11" t="s">
        <v>1573</v>
      </c>
      <c r="B65" s="44" t="s">
        <v>267</v>
      </c>
      <c r="C65" t="str">
        <f t="shared" si="0"/>
        <v>30TVN3653</v>
      </c>
      <c r="D65" t="str">
        <f t="shared" si="1"/>
        <v>30TVN35</v>
      </c>
    </row>
    <row r="66" spans="1:4" x14ac:dyDescent="0.3">
      <c r="A66" s="11" t="s">
        <v>1573</v>
      </c>
      <c r="B66" s="44" t="s">
        <v>301</v>
      </c>
      <c r="C66" t="str">
        <f t="shared" si="0"/>
        <v>30TVN3653</v>
      </c>
      <c r="D66" t="str">
        <f t="shared" si="1"/>
        <v>30TVN35</v>
      </c>
    </row>
    <row r="67" spans="1:4" x14ac:dyDescent="0.3">
      <c r="A67" s="4" t="s">
        <v>1379</v>
      </c>
      <c r="B67" s="44" t="s">
        <v>21</v>
      </c>
      <c r="C67" t="str">
        <f t="shared" ref="C67:C130" si="2">_xlfn.CONCAT(MID(B67,1,7),MID(B67,9,2))</f>
        <v>30TVN3858</v>
      </c>
      <c r="D67" t="str">
        <f t="shared" ref="D67:D130" si="3">_xlfn.CONCAT(MID(B67,1,6),MID(B67,9,1))</f>
        <v>30TVN35</v>
      </c>
    </row>
    <row r="68" spans="1:4" x14ac:dyDescent="0.3">
      <c r="A68" s="11" t="s">
        <v>1380</v>
      </c>
      <c r="B68" s="44" t="s">
        <v>267</v>
      </c>
      <c r="C68" t="str">
        <f t="shared" si="2"/>
        <v>30TVN3653</v>
      </c>
      <c r="D68" t="str">
        <f t="shared" si="3"/>
        <v>30TVN35</v>
      </c>
    </row>
    <row r="69" spans="1:4" x14ac:dyDescent="0.3">
      <c r="A69" s="11" t="s">
        <v>1381</v>
      </c>
      <c r="B69" s="44" t="s">
        <v>55</v>
      </c>
      <c r="C69" t="str">
        <f t="shared" si="2"/>
        <v>30TVN3655</v>
      </c>
      <c r="D69" t="str">
        <f t="shared" si="3"/>
        <v>30TVN35</v>
      </c>
    </row>
    <row r="70" spans="1:4" x14ac:dyDescent="0.3">
      <c r="A70" s="11" t="s">
        <v>1381</v>
      </c>
      <c r="B70" s="44" t="s">
        <v>63</v>
      </c>
      <c r="C70" t="str">
        <f t="shared" si="2"/>
        <v>30TVN4053</v>
      </c>
      <c r="D70" t="str">
        <f t="shared" si="3"/>
        <v>30TVN45</v>
      </c>
    </row>
    <row r="71" spans="1:4" x14ac:dyDescent="0.3">
      <c r="A71" s="11" t="s">
        <v>1381</v>
      </c>
      <c r="B71" s="44" t="s">
        <v>301</v>
      </c>
      <c r="C71" t="str">
        <f t="shared" si="2"/>
        <v>30TVN3653</v>
      </c>
      <c r="D71" t="str">
        <f t="shared" si="3"/>
        <v>30TVN35</v>
      </c>
    </row>
    <row r="72" spans="1:4" x14ac:dyDescent="0.3">
      <c r="A72" s="11" t="s">
        <v>1574</v>
      </c>
      <c r="B72" s="44" t="s">
        <v>63</v>
      </c>
      <c r="C72" t="str">
        <f t="shared" si="2"/>
        <v>30TVN4053</v>
      </c>
      <c r="D72" t="str">
        <f t="shared" si="3"/>
        <v>30TVN45</v>
      </c>
    </row>
    <row r="73" spans="1:4" x14ac:dyDescent="0.3">
      <c r="A73" s="11" t="s">
        <v>1383</v>
      </c>
      <c r="B73" s="44" t="s">
        <v>55</v>
      </c>
      <c r="C73" t="str">
        <f t="shared" si="2"/>
        <v>30TVN3655</v>
      </c>
      <c r="D73" t="str">
        <f t="shared" si="3"/>
        <v>30TVN35</v>
      </c>
    </row>
    <row r="74" spans="1:4" x14ac:dyDescent="0.3">
      <c r="A74" s="11" t="s">
        <v>1383</v>
      </c>
      <c r="B74" s="44" t="s">
        <v>68</v>
      </c>
      <c r="C74" t="str">
        <f t="shared" si="2"/>
        <v>30TVN3754</v>
      </c>
      <c r="D74" t="str">
        <f t="shared" si="3"/>
        <v>30TVN35</v>
      </c>
    </row>
    <row r="75" spans="1:4" x14ac:dyDescent="0.3">
      <c r="A75" s="11" t="s">
        <v>1383</v>
      </c>
      <c r="B75" s="44" t="s">
        <v>301</v>
      </c>
      <c r="C75" t="str">
        <f t="shared" si="2"/>
        <v>30TVN3653</v>
      </c>
      <c r="D75" t="str">
        <f t="shared" si="3"/>
        <v>30TVN35</v>
      </c>
    </row>
    <row r="76" spans="1:4" x14ac:dyDescent="0.3">
      <c r="A76" s="4" t="s">
        <v>1383</v>
      </c>
      <c r="B76" s="44" t="s">
        <v>223</v>
      </c>
      <c r="C76" t="str">
        <f t="shared" si="2"/>
        <v>30TVN2856</v>
      </c>
      <c r="D76" t="str">
        <f t="shared" si="3"/>
        <v>30TVN25</v>
      </c>
    </row>
    <row r="77" spans="1:4" x14ac:dyDescent="0.3">
      <c r="A77" s="11" t="s">
        <v>1384</v>
      </c>
      <c r="B77" s="44" t="s">
        <v>148</v>
      </c>
      <c r="C77" t="str">
        <f t="shared" si="2"/>
        <v>30TVN3754</v>
      </c>
      <c r="D77" t="str">
        <f t="shared" si="3"/>
        <v>30TVN35</v>
      </c>
    </row>
    <row r="78" spans="1:4" x14ac:dyDescent="0.3">
      <c r="A78" s="11" t="s">
        <v>1385</v>
      </c>
      <c r="B78" s="44" t="s">
        <v>55</v>
      </c>
      <c r="C78" t="str">
        <f t="shared" si="2"/>
        <v>30TVN3655</v>
      </c>
      <c r="D78" t="str">
        <f t="shared" si="3"/>
        <v>30TVN35</v>
      </c>
    </row>
    <row r="79" spans="1:4" x14ac:dyDescent="0.3">
      <c r="A79" s="11" t="s">
        <v>1385</v>
      </c>
      <c r="B79" s="44" t="s">
        <v>63</v>
      </c>
      <c r="C79" t="str">
        <f t="shared" si="2"/>
        <v>30TVN4053</v>
      </c>
      <c r="D79" t="str">
        <f t="shared" si="3"/>
        <v>30TVN45</v>
      </c>
    </row>
    <row r="80" spans="1:4" x14ac:dyDescent="0.3">
      <c r="A80" s="11" t="s">
        <v>1386</v>
      </c>
      <c r="B80" s="44" t="s">
        <v>345</v>
      </c>
      <c r="C80" t="str">
        <f t="shared" si="2"/>
        <v>30TVN3651</v>
      </c>
      <c r="D80" t="str">
        <f t="shared" si="3"/>
        <v>30TVN35</v>
      </c>
    </row>
    <row r="81" spans="1:4" x14ac:dyDescent="0.3">
      <c r="A81" s="4" t="s">
        <v>1387</v>
      </c>
      <c r="B81" s="44" t="s">
        <v>21</v>
      </c>
      <c r="C81" t="str">
        <f t="shared" si="2"/>
        <v>30TVN3858</v>
      </c>
      <c r="D81" t="str">
        <f t="shared" si="3"/>
        <v>30TVN35</v>
      </c>
    </row>
    <row r="82" spans="1:4" x14ac:dyDescent="0.3">
      <c r="A82" s="11" t="s">
        <v>1575</v>
      </c>
      <c r="B82" s="44" t="s">
        <v>63</v>
      </c>
      <c r="C82" t="str">
        <f t="shared" si="2"/>
        <v>30TVN4053</v>
      </c>
      <c r="D82" t="str">
        <f t="shared" si="3"/>
        <v>30TVN45</v>
      </c>
    </row>
    <row r="83" spans="1:4" x14ac:dyDescent="0.3">
      <c r="A83" s="11" t="s">
        <v>1576</v>
      </c>
      <c r="B83" s="44" t="s">
        <v>172</v>
      </c>
      <c r="C83" t="str">
        <f t="shared" si="2"/>
        <v>30TVN3652</v>
      </c>
      <c r="D83" t="str">
        <f t="shared" si="3"/>
        <v>30TVN35</v>
      </c>
    </row>
    <row r="84" spans="1:4" x14ac:dyDescent="0.3">
      <c r="A84" s="11" t="s">
        <v>1577</v>
      </c>
      <c r="B84" s="44" t="s">
        <v>73</v>
      </c>
      <c r="C84" t="str">
        <f t="shared" si="2"/>
        <v>30TVN4053</v>
      </c>
      <c r="D84" t="str">
        <f t="shared" si="3"/>
        <v>30TVN45</v>
      </c>
    </row>
    <row r="85" spans="1:4" x14ac:dyDescent="0.3">
      <c r="A85" s="11" t="s">
        <v>1391</v>
      </c>
      <c r="B85" s="44" t="s">
        <v>68</v>
      </c>
      <c r="C85" t="str">
        <f t="shared" si="2"/>
        <v>30TVN3754</v>
      </c>
      <c r="D85" t="str">
        <f t="shared" si="3"/>
        <v>30TVN35</v>
      </c>
    </row>
    <row r="86" spans="1:4" x14ac:dyDescent="0.3">
      <c r="A86" s="11" t="s">
        <v>1391</v>
      </c>
      <c r="B86" s="44" t="s">
        <v>154</v>
      </c>
      <c r="C86" t="str">
        <f t="shared" si="2"/>
        <v>30TVN3951</v>
      </c>
      <c r="D86" t="str">
        <f t="shared" si="3"/>
        <v>30TVN35</v>
      </c>
    </row>
    <row r="87" spans="1:4" x14ac:dyDescent="0.3">
      <c r="A87" s="11" t="s">
        <v>1392</v>
      </c>
      <c r="B87" s="44" t="s">
        <v>154</v>
      </c>
      <c r="C87" t="str">
        <f t="shared" si="2"/>
        <v>30TVN3951</v>
      </c>
      <c r="D87" t="str">
        <f t="shared" si="3"/>
        <v>30TVN35</v>
      </c>
    </row>
    <row r="88" spans="1:4" x14ac:dyDescent="0.3">
      <c r="A88" s="11" t="s">
        <v>1393</v>
      </c>
      <c r="B88" s="44" t="s">
        <v>148</v>
      </c>
      <c r="C88" t="str">
        <f t="shared" si="2"/>
        <v>30TVN3754</v>
      </c>
      <c r="D88" t="str">
        <f t="shared" si="3"/>
        <v>30TVN35</v>
      </c>
    </row>
    <row r="89" spans="1:4" x14ac:dyDescent="0.3">
      <c r="A89" s="11" t="s">
        <v>1393</v>
      </c>
      <c r="B89" s="44" t="s">
        <v>384</v>
      </c>
      <c r="C89" t="str">
        <f t="shared" si="2"/>
        <v>30TVN3551</v>
      </c>
      <c r="D89" t="str">
        <f t="shared" si="3"/>
        <v>30TVN35</v>
      </c>
    </row>
    <row r="90" spans="1:4" x14ac:dyDescent="0.3">
      <c r="A90" s="11" t="s">
        <v>1394</v>
      </c>
      <c r="B90" s="44" t="s">
        <v>83</v>
      </c>
      <c r="C90" t="str">
        <f t="shared" si="2"/>
        <v>30TVN3554</v>
      </c>
      <c r="D90" t="str">
        <f t="shared" si="3"/>
        <v>30TVN35</v>
      </c>
    </row>
    <row r="91" spans="1:4" x14ac:dyDescent="0.3">
      <c r="A91" s="11" t="s">
        <v>1395</v>
      </c>
      <c r="B91" s="44" t="s">
        <v>391</v>
      </c>
      <c r="C91" t="str">
        <f t="shared" si="2"/>
        <v>30TVN3357</v>
      </c>
      <c r="D91" t="str">
        <f t="shared" si="3"/>
        <v>30TVN35</v>
      </c>
    </row>
    <row r="92" spans="1:4" x14ac:dyDescent="0.3">
      <c r="A92" s="11" t="s">
        <v>1578</v>
      </c>
      <c r="B92" s="44" t="s">
        <v>391</v>
      </c>
      <c r="C92" t="str">
        <f t="shared" si="2"/>
        <v>30TVN3357</v>
      </c>
      <c r="D92" t="str">
        <f t="shared" si="3"/>
        <v>30TVN35</v>
      </c>
    </row>
    <row r="93" spans="1:4" x14ac:dyDescent="0.3">
      <c r="A93" s="11" t="s">
        <v>1578</v>
      </c>
      <c r="B93" s="44" t="s">
        <v>43</v>
      </c>
      <c r="C93" t="str">
        <f t="shared" si="2"/>
        <v>30TVN3857</v>
      </c>
      <c r="D93" t="str">
        <f t="shared" si="3"/>
        <v>30TVN35</v>
      </c>
    </row>
    <row r="94" spans="1:4" x14ac:dyDescent="0.3">
      <c r="A94" s="4" t="s">
        <v>1397</v>
      </c>
      <c r="B94" s="44" t="s">
        <v>29</v>
      </c>
      <c r="C94" t="str">
        <f t="shared" si="2"/>
        <v>30TVN3659</v>
      </c>
      <c r="D94" t="str">
        <f t="shared" si="3"/>
        <v>30TVN35</v>
      </c>
    </row>
    <row r="95" spans="1:4" x14ac:dyDescent="0.3">
      <c r="A95" s="11" t="s">
        <v>1397</v>
      </c>
      <c r="B95" s="44" t="s">
        <v>43</v>
      </c>
      <c r="C95" t="str">
        <f t="shared" si="2"/>
        <v>30TVN3857</v>
      </c>
      <c r="D95" t="str">
        <f t="shared" si="3"/>
        <v>30TVN35</v>
      </c>
    </row>
    <row r="96" spans="1:4" x14ac:dyDescent="0.3">
      <c r="A96" s="11" t="s">
        <v>1397</v>
      </c>
      <c r="B96" s="44" t="s">
        <v>187</v>
      </c>
      <c r="C96" t="str">
        <f t="shared" si="2"/>
        <v>30TVN3651</v>
      </c>
      <c r="D96" t="str">
        <f t="shared" si="3"/>
        <v>30TVN35</v>
      </c>
    </row>
    <row r="97" spans="1:4" x14ac:dyDescent="0.3">
      <c r="A97" s="11" t="s">
        <v>1398</v>
      </c>
      <c r="B97" s="44" t="s">
        <v>63</v>
      </c>
      <c r="C97" t="str">
        <f t="shared" si="2"/>
        <v>30TVN4053</v>
      </c>
      <c r="D97" t="str">
        <f t="shared" si="3"/>
        <v>30TVN45</v>
      </c>
    </row>
    <row r="98" spans="1:4" x14ac:dyDescent="0.3">
      <c r="A98" s="11" t="s">
        <v>1399</v>
      </c>
      <c r="B98" s="44" t="s">
        <v>187</v>
      </c>
      <c r="C98" t="str">
        <f t="shared" si="2"/>
        <v>30TVN3651</v>
      </c>
      <c r="D98" t="str">
        <f t="shared" si="3"/>
        <v>30TVN35</v>
      </c>
    </row>
    <row r="99" spans="1:4" x14ac:dyDescent="0.3">
      <c r="A99" s="11" t="s">
        <v>1400</v>
      </c>
      <c r="B99" s="44" t="s">
        <v>200</v>
      </c>
      <c r="C99" t="str">
        <f t="shared" si="2"/>
        <v>30TVN3159</v>
      </c>
      <c r="D99" t="str">
        <f t="shared" si="3"/>
        <v>30TVN35</v>
      </c>
    </row>
    <row r="100" spans="1:4" x14ac:dyDescent="0.3">
      <c r="A100" s="11" t="s">
        <v>1401</v>
      </c>
      <c r="B100" s="44" t="s">
        <v>55</v>
      </c>
      <c r="C100" t="str">
        <f t="shared" si="2"/>
        <v>30TVN3655</v>
      </c>
      <c r="D100" t="str">
        <f t="shared" si="3"/>
        <v>30TVN35</v>
      </c>
    </row>
    <row r="101" spans="1:4" x14ac:dyDescent="0.3">
      <c r="A101" s="11" t="s">
        <v>1402</v>
      </c>
      <c r="B101" s="44" t="s">
        <v>55</v>
      </c>
      <c r="C101" t="str">
        <f t="shared" si="2"/>
        <v>30TVN3655</v>
      </c>
      <c r="D101" t="str">
        <f t="shared" si="3"/>
        <v>30TVN35</v>
      </c>
    </row>
    <row r="102" spans="1:4" x14ac:dyDescent="0.3">
      <c r="A102" s="11" t="s">
        <v>1579</v>
      </c>
      <c r="B102" s="44" t="s">
        <v>35</v>
      </c>
      <c r="C102" t="str">
        <f t="shared" si="2"/>
        <v>30TVN3254</v>
      </c>
      <c r="D102" t="str">
        <f t="shared" si="3"/>
        <v>30TVN35</v>
      </c>
    </row>
    <row r="103" spans="1:4" x14ac:dyDescent="0.3">
      <c r="A103" s="4" t="s">
        <v>1579</v>
      </c>
      <c r="B103" s="44" t="s">
        <v>21</v>
      </c>
      <c r="C103" t="str">
        <f t="shared" si="2"/>
        <v>30TVN3858</v>
      </c>
      <c r="D103" t="str">
        <f t="shared" si="3"/>
        <v>30TVN35</v>
      </c>
    </row>
    <row r="104" spans="1:4" x14ac:dyDescent="0.3">
      <c r="A104" s="11" t="s">
        <v>1404</v>
      </c>
      <c r="B104" s="44" t="s">
        <v>154</v>
      </c>
      <c r="C104" t="str">
        <f t="shared" si="2"/>
        <v>30TVN3951</v>
      </c>
      <c r="D104" t="str">
        <f t="shared" si="3"/>
        <v>30TVN35</v>
      </c>
    </row>
    <row r="105" spans="1:4" x14ac:dyDescent="0.3">
      <c r="A105" s="11" t="s">
        <v>1580</v>
      </c>
      <c r="B105" s="44" t="s">
        <v>301</v>
      </c>
      <c r="C105" t="str">
        <f t="shared" si="2"/>
        <v>30TVN3653</v>
      </c>
      <c r="D105" t="str">
        <f t="shared" si="3"/>
        <v>30TVN35</v>
      </c>
    </row>
    <row r="106" spans="1:4" x14ac:dyDescent="0.3">
      <c r="A106" s="4" t="s">
        <v>1581</v>
      </c>
      <c r="B106" s="44" t="s">
        <v>223</v>
      </c>
      <c r="C106" t="str">
        <f t="shared" si="2"/>
        <v>30TVN2856</v>
      </c>
      <c r="D106" t="str">
        <f t="shared" si="3"/>
        <v>30TVN25</v>
      </c>
    </row>
    <row r="107" spans="1:4" x14ac:dyDescent="0.3">
      <c r="A107" s="11" t="s">
        <v>1581</v>
      </c>
      <c r="B107" s="44" t="s">
        <v>35</v>
      </c>
      <c r="C107" t="str">
        <f t="shared" si="2"/>
        <v>30TVN3254</v>
      </c>
      <c r="D107" t="str">
        <f t="shared" si="3"/>
        <v>30TVN35</v>
      </c>
    </row>
    <row r="108" spans="1:4" x14ac:dyDescent="0.3">
      <c r="A108" s="11" t="s">
        <v>1581</v>
      </c>
      <c r="B108" s="44" t="s">
        <v>91</v>
      </c>
      <c r="C108" t="str">
        <f t="shared" si="2"/>
        <v>30TVN3353</v>
      </c>
      <c r="D108" t="str">
        <f t="shared" si="3"/>
        <v>30TVN35</v>
      </c>
    </row>
    <row r="109" spans="1:4" x14ac:dyDescent="0.3">
      <c r="A109" s="11" t="s">
        <v>1581</v>
      </c>
      <c r="B109" s="44" t="s">
        <v>451</v>
      </c>
      <c r="C109" t="str">
        <f t="shared" si="2"/>
        <v>30TVN3556</v>
      </c>
      <c r="D109" t="str">
        <f t="shared" si="3"/>
        <v>30TVN35</v>
      </c>
    </row>
    <row r="110" spans="1:4" x14ac:dyDescent="0.3">
      <c r="A110" s="4" t="s">
        <v>1582</v>
      </c>
      <c r="B110" s="44" t="s">
        <v>223</v>
      </c>
      <c r="C110" t="str">
        <f t="shared" si="2"/>
        <v>30TVN2856</v>
      </c>
      <c r="D110" t="str">
        <f t="shared" si="3"/>
        <v>30TVN25</v>
      </c>
    </row>
    <row r="111" spans="1:4" x14ac:dyDescent="0.3">
      <c r="A111" s="11" t="s">
        <v>1408</v>
      </c>
      <c r="B111" s="44" t="s">
        <v>63</v>
      </c>
      <c r="C111" t="str">
        <f t="shared" si="2"/>
        <v>30TVN4053</v>
      </c>
      <c r="D111" t="str">
        <f t="shared" si="3"/>
        <v>30TVN45</v>
      </c>
    </row>
    <row r="112" spans="1:4" x14ac:dyDescent="0.3">
      <c r="A112" s="11" t="s">
        <v>1409</v>
      </c>
      <c r="B112" s="44" t="s">
        <v>35</v>
      </c>
      <c r="C112" t="str">
        <f t="shared" si="2"/>
        <v>30TVN3254</v>
      </c>
      <c r="D112" t="str">
        <f t="shared" si="3"/>
        <v>30TVN35</v>
      </c>
    </row>
    <row r="113" spans="1:4" x14ac:dyDescent="0.3">
      <c r="A113" s="11" t="s">
        <v>1409</v>
      </c>
      <c r="B113" s="44" t="s">
        <v>172</v>
      </c>
      <c r="C113" t="str">
        <f t="shared" si="2"/>
        <v>30TVN3652</v>
      </c>
      <c r="D113" t="str">
        <f t="shared" si="3"/>
        <v>30TVN35</v>
      </c>
    </row>
    <row r="114" spans="1:4" x14ac:dyDescent="0.3">
      <c r="A114" s="11" t="s">
        <v>1409</v>
      </c>
      <c r="B114" s="44" t="s">
        <v>466</v>
      </c>
      <c r="C114" t="str">
        <f t="shared" si="2"/>
        <v>30TVN3059</v>
      </c>
      <c r="D114" t="str">
        <f t="shared" si="3"/>
        <v>30TVN35</v>
      </c>
    </row>
    <row r="115" spans="1:4" x14ac:dyDescent="0.3">
      <c r="A115" s="11" t="s">
        <v>1410</v>
      </c>
      <c r="B115" s="44" t="s">
        <v>35</v>
      </c>
      <c r="C115" t="str">
        <f t="shared" si="2"/>
        <v>30TVN3254</v>
      </c>
      <c r="D115" t="str">
        <f t="shared" si="3"/>
        <v>30TVN35</v>
      </c>
    </row>
    <row r="116" spans="1:4" x14ac:dyDescent="0.3">
      <c r="A116" s="11" t="s">
        <v>1583</v>
      </c>
      <c r="B116" s="44" t="s">
        <v>267</v>
      </c>
      <c r="C116" t="str">
        <f t="shared" si="2"/>
        <v>30TVN3653</v>
      </c>
      <c r="D116" t="str">
        <f t="shared" si="3"/>
        <v>30TVN35</v>
      </c>
    </row>
    <row r="117" spans="1:4" x14ac:dyDescent="0.3">
      <c r="A117" s="11" t="s">
        <v>1584</v>
      </c>
      <c r="B117" s="44" t="s">
        <v>68</v>
      </c>
      <c r="C117" t="str">
        <f t="shared" si="2"/>
        <v>30TVN3754</v>
      </c>
      <c r="D117" t="str">
        <f t="shared" si="3"/>
        <v>30TVN35</v>
      </c>
    </row>
    <row r="118" spans="1:4" x14ac:dyDescent="0.3">
      <c r="A118" s="11" t="s">
        <v>1413</v>
      </c>
      <c r="B118" s="44" t="s">
        <v>187</v>
      </c>
      <c r="C118" t="str">
        <f t="shared" si="2"/>
        <v>30TVN3651</v>
      </c>
      <c r="D118" t="str">
        <f t="shared" si="3"/>
        <v>30TVN35</v>
      </c>
    </row>
    <row r="119" spans="1:4" x14ac:dyDescent="0.3">
      <c r="A119" s="4" t="s">
        <v>1414</v>
      </c>
      <c r="B119" s="44" t="s">
        <v>118</v>
      </c>
      <c r="C119" t="str">
        <f t="shared" si="2"/>
        <v>30TVN3059</v>
      </c>
      <c r="D119" t="str">
        <f t="shared" si="3"/>
        <v>30TVN35</v>
      </c>
    </row>
    <row r="120" spans="1:4" x14ac:dyDescent="0.3">
      <c r="A120" s="11" t="s">
        <v>1414</v>
      </c>
      <c r="B120" s="44" t="s">
        <v>200</v>
      </c>
      <c r="C120" t="str">
        <f t="shared" si="2"/>
        <v>30TVN3159</v>
      </c>
      <c r="D120" t="str">
        <f t="shared" si="3"/>
        <v>30TVN35</v>
      </c>
    </row>
    <row r="121" spans="1:4" x14ac:dyDescent="0.3">
      <c r="A121" s="4" t="s">
        <v>1415</v>
      </c>
      <c r="B121" s="44" t="s">
        <v>21</v>
      </c>
      <c r="C121" t="str">
        <f t="shared" si="2"/>
        <v>30TVN3858</v>
      </c>
      <c r="D121" t="str">
        <f t="shared" si="3"/>
        <v>30TVN35</v>
      </c>
    </row>
    <row r="122" spans="1:4" x14ac:dyDescent="0.3">
      <c r="A122" s="11" t="s">
        <v>1415</v>
      </c>
      <c r="B122" s="44" t="s">
        <v>43</v>
      </c>
      <c r="C122" t="str">
        <f t="shared" si="2"/>
        <v>30TVN3857</v>
      </c>
      <c r="D122" t="str">
        <f t="shared" si="3"/>
        <v>30TVN35</v>
      </c>
    </row>
    <row r="123" spans="1:4" x14ac:dyDescent="0.3">
      <c r="A123" s="4" t="s">
        <v>1415</v>
      </c>
      <c r="B123" s="44" t="s">
        <v>118</v>
      </c>
      <c r="C123" t="str">
        <f t="shared" si="2"/>
        <v>30TVN3059</v>
      </c>
      <c r="D123" t="str">
        <f t="shared" si="3"/>
        <v>30TVN35</v>
      </c>
    </row>
    <row r="124" spans="1:4" x14ac:dyDescent="0.3">
      <c r="A124" s="4" t="s">
        <v>1416</v>
      </c>
      <c r="B124" s="44" t="s">
        <v>118</v>
      </c>
      <c r="C124" t="str">
        <f t="shared" si="2"/>
        <v>30TVN3059</v>
      </c>
      <c r="D124" t="str">
        <f t="shared" si="3"/>
        <v>30TVN35</v>
      </c>
    </row>
    <row r="125" spans="1:4" x14ac:dyDescent="0.3">
      <c r="A125" s="11" t="s">
        <v>1417</v>
      </c>
      <c r="B125" s="44" t="s">
        <v>267</v>
      </c>
      <c r="C125" t="str">
        <f t="shared" si="2"/>
        <v>30TVN3653</v>
      </c>
      <c r="D125" t="str">
        <f t="shared" si="3"/>
        <v>30TVN35</v>
      </c>
    </row>
    <row r="126" spans="1:4" x14ac:dyDescent="0.3">
      <c r="A126" s="11" t="s">
        <v>1417</v>
      </c>
      <c r="B126" s="44" t="s">
        <v>301</v>
      </c>
      <c r="C126" t="str">
        <f t="shared" si="2"/>
        <v>30TVN3653</v>
      </c>
      <c r="D126" t="str">
        <f t="shared" si="3"/>
        <v>30TVN35</v>
      </c>
    </row>
    <row r="127" spans="1:4" x14ac:dyDescent="0.3">
      <c r="A127" s="11" t="s">
        <v>1418</v>
      </c>
      <c r="B127" s="44" t="s">
        <v>187</v>
      </c>
      <c r="C127" t="str">
        <f t="shared" si="2"/>
        <v>30TVN3651</v>
      </c>
      <c r="D127" t="str">
        <f t="shared" si="3"/>
        <v>30TVN35</v>
      </c>
    </row>
    <row r="128" spans="1:4" x14ac:dyDescent="0.3">
      <c r="A128" s="4" t="s">
        <v>1419</v>
      </c>
      <c r="B128" s="44" t="s">
        <v>512</v>
      </c>
      <c r="C128" t="str">
        <f t="shared" si="2"/>
        <v>30TVN3058</v>
      </c>
      <c r="D128" t="str">
        <f t="shared" si="3"/>
        <v>30TVN35</v>
      </c>
    </row>
    <row r="129" spans="1:4" x14ac:dyDescent="0.3">
      <c r="A129" s="4" t="s">
        <v>1340</v>
      </c>
      <c r="B129" s="44" t="s">
        <v>512</v>
      </c>
      <c r="C129" t="str">
        <f t="shared" si="2"/>
        <v>30TVN3058</v>
      </c>
      <c r="D129" t="str">
        <f t="shared" si="3"/>
        <v>30TVN35</v>
      </c>
    </row>
    <row r="130" spans="1:4" x14ac:dyDescent="0.3">
      <c r="A130" s="11" t="s">
        <v>1340</v>
      </c>
      <c r="B130" s="44" t="s">
        <v>187</v>
      </c>
      <c r="C130" t="str">
        <f t="shared" si="2"/>
        <v>30TVN3651</v>
      </c>
      <c r="D130" t="str">
        <f t="shared" si="3"/>
        <v>30TVN35</v>
      </c>
    </row>
    <row r="131" spans="1:4" x14ac:dyDescent="0.3">
      <c r="A131" s="4" t="s">
        <v>1420</v>
      </c>
      <c r="B131" s="44" t="s">
        <v>512</v>
      </c>
      <c r="C131" t="str">
        <f t="shared" ref="C131:C194" si="4">_xlfn.CONCAT(MID(B131,1,7),MID(B131,9,2))</f>
        <v>30TVN3058</v>
      </c>
      <c r="D131" t="str">
        <f t="shared" ref="D131:D194" si="5">_xlfn.CONCAT(MID(B131,1,6),MID(B131,9,1))</f>
        <v>30TVN35</v>
      </c>
    </row>
    <row r="132" spans="1:4" x14ac:dyDescent="0.3">
      <c r="A132" s="11" t="s">
        <v>1420</v>
      </c>
      <c r="B132" s="44" t="s">
        <v>527</v>
      </c>
      <c r="C132" t="str">
        <f t="shared" si="4"/>
        <v>30TVN3259</v>
      </c>
      <c r="D132" t="str">
        <f t="shared" si="5"/>
        <v>30TVN35</v>
      </c>
    </row>
    <row r="133" spans="1:4" x14ac:dyDescent="0.3">
      <c r="A133" s="11" t="s">
        <v>1585</v>
      </c>
      <c r="B133" s="44" t="s">
        <v>83</v>
      </c>
      <c r="C133" t="str">
        <f t="shared" si="4"/>
        <v>30TVN3554</v>
      </c>
      <c r="D133" t="str">
        <f t="shared" si="5"/>
        <v>30TVN35</v>
      </c>
    </row>
    <row r="134" spans="1:4" x14ac:dyDescent="0.3">
      <c r="A134" s="11" t="s">
        <v>1586</v>
      </c>
      <c r="B134" s="44" t="s">
        <v>148</v>
      </c>
      <c r="C134" t="str">
        <f t="shared" si="4"/>
        <v>30TVN3754</v>
      </c>
      <c r="D134" t="str">
        <f t="shared" si="5"/>
        <v>30TVN35</v>
      </c>
    </row>
    <row r="135" spans="1:4" x14ac:dyDescent="0.3">
      <c r="A135" s="11" t="s">
        <v>1586</v>
      </c>
      <c r="B135" s="44" t="s">
        <v>267</v>
      </c>
      <c r="C135" t="str">
        <f t="shared" si="4"/>
        <v>30TVN3653</v>
      </c>
      <c r="D135" t="str">
        <f t="shared" si="5"/>
        <v>30TVN35</v>
      </c>
    </row>
    <row r="136" spans="1:4" x14ac:dyDescent="0.3">
      <c r="A136" s="11" t="s">
        <v>1586</v>
      </c>
      <c r="B136" s="44" t="s">
        <v>384</v>
      </c>
      <c r="C136" t="str">
        <f t="shared" si="4"/>
        <v>30TVN3551</v>
      </c>
      <c r="D136" t="str">
        <f t="shared" si="5"/>
        <v>30TVN35</v>
      </c>
    </row>
    <row r="137" spans="1:4" x14ac:dyDescent="0.3">
      <c r="A137" s="11" t="s">
        <v>1587</v>
      </c>
      <c r="B137" s="44" t="s">
        <v>83</v>
      </c>
      <c r="C137" t="str">
        <f t="shared" si="4"/>
        <v>30TVN3554</v>
      </c>
      <c r="D137" t="str">
        <f t="shared" si="5"/>
        <v>30TVN35</v>
      </c>
    </row>
    <row r="138" spans="1:4" x14ac:dyDescent="0.3">
      <c r="A138" s="11" t="s">
        <v>1587</v>
      </c>
      <c r="B138" s="44" t="s">
        <v>148</v>
      </c>
      <c r="C138" t="str">
        <f t="shared" si="4"/>
        <v>30TVN3754</v>
      </c>
      <c r="D138" t="str">
        <f t="shared" si="5"/>
        <v>30TVN35</v>
      </c>
    </row>
    <row r="139" spans="1:4" x14ac:dyDescent="0.3">
      <c r="A139" s="11" t="s">
        <v>1587</v>
      </c>
      <c r="B139" s="44" t="s">
        <v>172</v>
      </c>
      <c r="C139" t="str">
        <f t="shared" si="4"/>
        <v>30TVN3652</v>
      </c>
      <c r="D139" t="str">
        <f t="shared" si="5"/>
        <v>30TVN35</v>
      </c>
    </row>
    <row r="140" spans="1:4" x14ac:dyDescent="0.3">
      <c r="A140" s="11" t="s">
        <v>1588</v>
      </c>
      <c r="B140" s="44" t="s">
        <v>73</v>
      </c>
      <c r="C140" t="str">
        <f t="shared" si="4"/>
        <v>30TVN4053</v>
      </c>
      <c r="D140" t="str">
        <f t="shared" si="5"/>
        <v>30TVN45</v>
      </c>
    </row>
    <row r="141" spans="1:4" x14ac:dyDescent="0.3">
      <c r="A141" s="11" t="s">
        <v>1588</v>
      </c>
      <c r="B141" s="44" t="s">
        <v>63</v>
      </c>
      <c r="C141" t="str">
        <f t="shared" si="4"/>
        <v>30TVN4053</v>
      </c>
      <c r="D141" t="str">
        <f t="shared" si="5"/>
        <v>30TVN45</v>
      </c>
    </row>
    <row r="142" spans="1:4" x14ac:dyDescent="0.3">
      <c r="A142" s="11" t="s">
        <v>1588</v>
      </c>
      <c r="B142" s="44" t="s">
        <v>172</v>
      </c>
      <c r="C142" t="str">
        <f t="shared" si="4"/>
        <v>30TVN3652</v>
      </c>
      <c r="D142" t="str">
        <f t="shared" si="5"/>
        <v>30TVN35</v>
      </c>
    </row>
    <row r="143" spans="1:4" x14ac:dyDescent="0.3">
      <c r="A143" s="11" t="s">
        <v>1425</v>
      </c>
      <c r="B143" s="44" t="s">
        <v>172</v>
      </c>
      <c r="C143" t="str">
        <f t="shared" si="4"/>
        <v>30TVN3652</v>
      </c>
      <c r="D143" t="str">
        <f t="shared" si="5"/>
        <v>30TVN35</v>
      </c>
    </row>
    <row r="144" spans="1:4" x14ac:dyDescent="0.3">
      <c r="A144" s="4" t="s">
        <v>1589</v>
      </c>
      <c r="B144" s="44" t="s">
        <v>512</v>
      </c>
      <c r="C144" t="str">
        <f t="shared" si="4"/>
        <v>30TVN3058</v>
      </c>
      <c r="D144" t="str">
        <f t="shared" si="5"/>
        <v>30TVN35</v>
      </c>
    </row>
    <row r="145" spans="1:4" x14ac:dyDescent="0.3">
      <c r="A145" s="11" t="s">
        <v>1589</v>
      </c>
      <c r="B145" s="44" t="s">
        <v>55</v>
      </c>
      <c r="C145" t="str">
        <f t="shared" si="4"/>
        <v>30TVN3655</v>
      </c>
      <c r="D145" t="str">
        <f t="shared" si="5"/>
        <v>30TVN35</v>
      </c>
    </row>
    <row r="146" spans="1:4" x14ac:dyDescent="0.3">
      <c r="A146" s="11" t="s">
        <v>1589</v>
      </c>
      <c r="B146" s="44" t="s">
        <v>63</v>
      </c>
      <c r="C146" t="str">
        <f t="shared" si="4"/>
        <v>30TVN4053</v>
      </c>
      <c r="D146" t="str">
        <f t="shared" si="5"/>
        <v>30TVN45</v>
      </c>
    </row>
    <row r="147" spans="1:4" x14ac:dyDescent="0.3">
      <c r="A147" s="11" t="s">
        <v>1589</v>
      </c>
      <c r="B147" s="44" t="s">
        <v>384</v>
      </c>
      <c r="C147" t="str">
        <f t="shared" si="4"/>
        <v>30TVN3551</v>
      </c>
      <c r="D147" t="str">
        <f t="shared" si="5"/>
        <v>30TVN35</v>
      </c>
    </row>
    <row r="148" spans="1:4" x14ac:dyDescent="0.3">
      <c r="A148" s="11" t="s">
        <v>1427</v>
      </c>
      <c r="B148" s="44" t="s">
        <v>573</v>
      </c>
      <c r="C148" t="str">
        <f t="shared" si="4"/>
        <v>30TVN3353</v>
      </c>
      <c r="D148" t="str">
        <f t="shared" si="5"/>
        <v>30TVN35</v>
      </c>
    </row>
    <row r="149" spans="1:4" x14ac:dyDescent="0.3">
      <c r="A149" s="4" t="s">
        <v>1427</v>
      </c>
      <c r="B149" s="44" t="s">
        <v>118</v>
      </c>
      <c r="C149" t="str">
        <f t="shared" si="4"/>
        <v>30TVN3059</v>
      </c>
      <c r="D149" t="str">
        <f t="shared" si="5"/>
        <v>30TVN35</v>
      </c>
    </row>
    <row r="150" spans="1:4" x14ac:dyDescent="0.3">
      <c r="A150" s="11" t="s">
        <v>1428</v>
      </c>
      <c r="B150" s="44" t="s">
        <v>267</v>
      </c>
      <c r="C150" t="str">
        <f t="shared" si="4"/>
        <v>30TVN3653</v>
      </c>
      <c r="D150" t="str">
        <f t="shared" si="5"/>
        <v>30TVN35</v>
      </c>
    </row>
    <row r="151" spans="1:4" x14ac:dyDescent="0.3">
      <c r="A151" s="11" t="s">
        <v>1428</v>
      </c>
      <c r="B151" s="44" t="s">
        <v>301</v>
      </c>
      <c r="C151" t="str">
        <f t="shared" si="4"/>
        <v>30TVN3653</v>
      </c>
      <c r="D151" t="str">
        <f t="shared" si="5"/>
        <v>30TVN35</v>
      </c>
    </row>
    <row r="152" spans="1:4" x14ac:dyDescent="0.3">
      <c r="A152" s="11" t="s">
        <v>1428</v>
      </c>
      <c r="B152" s="44" t="s">
        <v>154</v>
      </c>
      <c r="C152" t="str">
        <f t="shared" si="4"/>
        <v>30TVN3951</v>
      </c>
      <c r="D152" t="str">
        <f t="shared" si="5"/>
        <v>30TVN35</v>
      </c>
    </row>
    <row r="153" spans="1:4" x14ac:dyDescent="0.3">
      <c r="A153" s="11" t="s">
        <v>1590</v>
      </c>
      <c r="B153" s="44" t="s">
        <v>345</v>
      </c>
      <c r="C153" t="str">
        <f t="shared" si="4"/>
        <v>30TVN3651</v>
      </c>
      <c r="D153" t="str">
        <f t="shared" si="5"/>
        <v>30TVN35</v>
      </c>
    </row>
    <row r="154" spans="1:4" x14ac:dyDescent="0.3">
      <c r="A154" s="24" t="s">
        <v>1430</v>
      </c>
      <c r="B154" s="45" t="s">
        <v>187</v>
      </c>
      <c r="C154" t="str">
        <f t="shared" si="4"/>
        <v>30TVN3651</v>
      </c>
      <c r="D154" t="str">
        <f t="shared" si="5"/>
        <v>30TVN35</v>
      </c>
    </row>
    <row r="155" spans="1:4" x14ac:dyDescent="0.3">
      <c r="A155" s="11" t="s">
        <v>1431</v>
      </c>
      <c r="B155" s="44" t="s">
        <v>83</v>
      </c>
      <c r="C155" t="str">
        <f t="shared" si="4"/>
        <v>30TVN3554</v>
      </c>
      <c r="D155" t="str">
        <f t="shared" si="5"/>
        <v>30TVN35</v>
      </c>
    </row>
    <row r="156" spans="1:4" x14ac:dyDescent="0.3">
      <c r="A156" s="11" t="s">
        <v>1431</v>
      </c>
      <c r="B156" s="44" t="s">
        <v>68</v>
      </c>
      <c r="C156" t="str">
        <f t="shared" si="4"/>
        <v>30TVN3754</v>
      </c>
      <c r="D156" t="str">
        <f t="shared" si="5"/>
        <v>30TVN35</v>
      </c>
    </row>
    <row r="157" spans="1:4" x14ac:dyDescent="0.3">
      <c r="A157" s="11" t="s">
        <v>1431</v>
      </c>
      <c r="B157" s="44" t="s">
        <v>148</v>
      </c>
      <c r="C157" t="str">
        <f t="shared" si="4"/>
        <v>30TVN3754</v>
      </c>
      <c r="D157" t="str">
        <f t="shared" si="5"/>
        <v>30TVN35</v>
      </c>
    </row>
    <row r="158" spans="1:4" x14ac:dyDescent="0.3">
      <c r="A158" s="11" t="s">
        <v>1431</v>
      </c>
      <c r="B158" s="44" t="s">
        <v>267</v>
      </c>
      <c r="C158" t="str">
        <f t="shared" si="4"/>
        <v>30TVN3653</v>
      </c>
      <c r="D158" t="str">
        <f t="shared" si="5"/>
        <v>30TVN35</v>
      </c>
    </row>
    <row r="159" spans="1:4" x14ac:dyDescent="0.3">
      <c r="A159" s="11" t="s">
        <v>1431</v>
      </c>
      <c r="B159" s="44" t="s">
        <v>301</v>
      </c>
      <c r="C159" t="str">
        <f t="shared" si="4"/>
        <v>30TVN3653</v>
      </c>
      <c r="D159" t="str">
        <f t="shared" si="5"/>
        <v>30TVN35</v>
      </c>
    </row>
    <row r="160" spans="1:4" x14ac:dyDescent="0.3">
      <c r="A160" s="11" t="s">
        <v>1432</v>
      </c>
      <c r="B160" s="44" t="s">
        <v>573</v>
      </c>
      <c r="C160" t="str">
        <f t="shared" si="4"/>
        <v>30TVN3353</v>
      </c>
      <c r="D160" t="str">
        <f t="shared" si="5"/>
        <v>30TVN35</v>
      </c>
    </row>
    <row r="161" spans="1:4" x14ac:dyDescent="0.3">
      <c r="A161" s="11" t="s">
        <v>1432</v>
      </c>
      <c r="B161" s="44" t="s">
        <v>43</v>
      </c>
      <c r="C161" t="str">
        <f t="shared" si="4"/>
        <v>30TVN3857</v>
      </c>
      <c r="D161" t="str">
        <f t="shared" si="5"/>
        <v>30TVN35</v>
      </c>
    </row>
    <row r="162" spans="1:4" x14ac:dyDescent="0.3">
      <c r="A162" s="11" t="s">
        <v>1433</v>
      </c>
      <c r="B162" s="44" t="s">
        <v>172</v>
      </c>
      <c r="C162" t="str">
        <f t="shared" si="4"/>
        <v>30TVN3652</v>
      </c>
      <c r="D162" t="str">
        <f t="shared" si="5"/>
        <v>30TVN35</v>
      </c>
    </row>
    <row r="163" spans="1:4" x14ac:dyDescent="0.3">
      <c r="A163" s="4" t="s">
        <v>1434</v>
      </c>
      <c r="B163" s="44" t="s">
        <v>512</v>
      </c>
      <c r="C163" t="str">
        <f t="shared" si="4"/>
        <v>30TVN3058</v>
      </c>
      <c r="D163" t="str">
        <f t="shared" si="5"/>
        <v>30TVN35</v>
      </c>
    </row>
    <row r="164" spans="1:4" x14ac:dyDescent="0.3">
      <c r="A164" s="11" t="s">
        <v>1434</v>
      </c>
      <c r="B164" s="44" t="s">
        <v>131</v>
      </c>
      <c r="C164" t="str">
        <f t="shared" si="4"/>
        <v>30TVN3560</v>
      </c>
      <c r="D164" t="str">
        <f t="shared" si="5"/>
        <v>30TVN36</v>
      </c>
    </row>
    <row r="165" spans="1:4" x14ac:dyDescent="0.3">
      <c r="A165" s="4" t="s">
        <v>1434</v>
      </c>
      <c r="B165" s="44" t="s">
        <v>118</v>
      </c>
      <c r="C165" t="str">
        <f t="shared" si="4"/>
        <v>30TVN3059</v>
      </c>
      <c r="D165" t="str">
        <f t="shared" si="5"/>
        <v>30TVN35</v>
      </c>
    </row>
    <row r="166" spans="1:4" x14ac:dyDescent="0.3">
      <c r="A166" s="11" t="s">
        <v>1435</v>
      </c>
      <c r="B166" s="44" t="s">
        <v>187</v>
      </c>
      <c r="C166" t="str">
        <f t="shared" si="4"/>
        <v>30TVN3651</v>
      </c>
      <c r="D166" t="str">
        <f t="shared" si="5"/>
        <v>30TVN35</v>
      </c>
    </row>
    <row r="167" spans="1:4" x14ac:dyDescent="0.3">
      <c r="A167" s="11" t="s">
        <v>1436</v>
      </c>
      <c r="B167" s="44" t="s">
        <v>73</v>
      </c>
      <c r="C167" t="str">
        <f t="shared" si="4"/>
        <v>30TVN4053</v>
      </c>
      <c r="D167" t="str">
        <f t="shared" si="5"/>
        <v>30TVN45</v>
      </c>
    </row>
    <row r="168" spans="1:4" x14ac:dyDescent="0.3">
      <c r="A168" s="11" t="s">
        <v>1436</v>
      </c>
      <c r="B168" s="44" t="s">
        <v>43</v>
      </c>
      <c r="C168" t="str">
        <f t="shared" si="4"/>
        <v>30TVN3857</v>
      </c>
      <c r="D168" t="str">
        <f t="shared" si="5"/>
        <v>30TVN35</v>
      </c>
    </row>
    <row r="169" spans="1:4" x14ac:dyDescent="0.3">
      <c r="A169" s="11" t="s">
        <v>1436</v>
      </c>
      <c r="B169" s="44" t="s">
        <v>172</v>
      </c>
      <c r="C169" t="str">
        <f t="shared" si="4"/>
        <v>30TVN3652</v>
      </c>
      <c r="D169" t="str">
        <f t="shared" si="5"/>
        <v>30TVN35</v>
      </c>
    </row>
    <row r="170" spans="1:4" x14ac:dyDescent="0.3">
      <c r="A170" s="4" t="s">
        <v>1437</v>
      </c>
      <c r="B170" s="44" t="s">
        <v>21</v>
      </c>
      <c r="C170" t="str">
        <f t="shared" si="4"/>
        <v>30TVN3858</v>
      </c>
      <c r="D170" t="str">
        <f t="shared" si="5"/>
        <v>30TVN35</v>
      </c>
    </row>
    <row r="171" spans="1:4" x14ac:dyDescent="0.3">
      <c r="A171" s="11" t="s">
        <v>1438</v>
      </c>
      <c r="B171" s="44" t="s">
        <v>73</v>
      </c>
      <c r="C171" t="str">
        <f t="shared" si="4"/>
        <v>30TVN4053</v>
      </c>
      <c r="D171" t="str">
        <f t="shared" si="5"/>
        <v>30TVN45</v>
      </c>
    </row>
    <row r="172" spans="1:4" x14ac:dyDescent="0.3">
      <c r="A172" s="11" t="s">
        <v>1438</v>
      </c>
      <c r="B172" s="44" t="s">
        <v>187</v>
      </c>
      <c r="C172" t="str">
        <f t="shared" si="4"/>
        <v>30TVN3651</v>
      </c>
      <c r="D172" t="str">
        <f t="shared" si="5"/>
        <v>30TVN35</v>
      </c>
    </row>
    <row r="173" spans="1:4" x14ac:dyDescent="0.3">
      <c r="A173" s="4" t="s">
        <v>1438</v>
      </c>
      <c r="B173" s="44" t="s">
        <v>192</v>
      </c>
      <c r="C173" t="str">
        <f t="shared" si="4"/>
        <v>30TVN3259</v>
      </c>
      <c r="D173" t="str">
        <f t="shared" si="5"/>
        <v>30TVN35</v>
      </c>
    </row>
    <row r="174" spans="1:4" x14ac:dyDescent="0.3">
      <c r="A174" s="11" t="s">
        <v>1439</v>
      </c>
      <c r="B174" s="44" t="s">
        <v>391</v>
      </c>
      <c r="C174" t="str">
        <f t="shared" si="4"/>
        <v>30TVN3357</v>
      </c>
      <c r="D174" t="str">
        <f t="shared" si="5"/>
        <v>30TVN35</v>
      </c>
    </row>
    <row r="175" spans="1:4" x14ac:dyDescent="0.3">
      <c r="A175" s="11" t="s">
        <v>1591</v>
      </c>
      <c r="B175" s="44" t="s">
        <v>384</v>
      </c>
      <c r="C175" t="str">
        <f t="shared" si="4"/>
        <v>30TVN3551</v>
      </c>
      <c r="D175" t="str">
        <f t="shared" si="5"/>
        <v>30TVN35</v>
      </c>
    </row>
    <row r="176" spans="1:4" x14ac:dyDescent="0.3">
      <c r="A176" s="11" t="s">
        <v>1592</v>
      </c>
      <c r="B176" s="44" t="s">
        <v>35</v>
      </c>
      <c r="C176" t="str">
        <f t="shared" si="4"/>
        <v>30TVN3254</v>
      </c>
      <c r="D176" t="str">
        <f t="shared" si="5"/>
        <v>30TVN35</v>
      </c>
    </row>
    <row r="177" spans="1:4" x14ac:dyDescent="0.3">
      <c r="A177" s="11" t="s">
        <v>1442</v>
      </c>
      <c r="B177" s="44" t="s">
        <v>55</v>
      </c>
      <c r="C177" t="str">
        <f t="shared" si="4"/>
        <v>30TVN3655</v>
      </c>
      <c r="D177" t="str">
        <f t="shared" si="5"/>
        <v>30TVN35</v>
      </c>
    </row>
    <row r="178" spans="1:4" x14ac:dyDescent="0.3">
      <c r="A178" s="11" t="s">
        <v>1442</v>
      </c>
      <c r="B178" s="44" t="s">
        <v>83</v>
      </c>
      <c r="C178" t="str">
        <f t="shared" si="4"/>
        <v>30TVN3554</v>
      </c>
      <c r="D178" t="str">
        <f t="shared" si="5"/>
        <v>30TVN35</v>
      </c>
    </row>
    <row r="179" spans="1:4" x14ac:dyDescent="0.3">
      <c r="A179" s="11" t="s">
        <v>1442</v>
      </c>
      <c r="B179" s="44" t="s">
        <v>68</v>
      </c>
      <c r="C179" t="str">
        <f t="shared" si="4"/>
        <v>30TVN3754</v>
      </c>
      <c r="D179" t="str">
        <f t="shared" si="5"/>
        <v>30TVN35</v>
      </c>
    </row>
    <row r="180" spans="1:4" x14ac:dyDescent="0.3">
      <c r="A180" s="4" t="s">
        <v>1442</v>
      </c>
      <c r="B180" s="44" t="s">
        <v>223</v>
      </c>
      <c r="C180" t="str">
        <f t="shared" si="4"/>
        <v>30TVN2856</v>
      </c>
      <c r="D180" t="str">
        <f t="shared" si="5"/>
        <v>30TVN25</v>
      </c>
    </row>
    <row r="181" spans="1:4" x14ac:dyDescent="0.3">
      <c r="A181" s="11" t="s">
        <v>1442</v>
      </c>
      <c r="B181" s="44" t="s">
        <v>172</v>
      </c>
      <c r="C181" t="str">
        <f t="shared" si="4"/>
        <v>30TVN3652</v>
      </c>
      <c r="D181" t="str">
        <f t="shared" si="5"/>
        <v>30TVN35</v>
      </c>
    </row>
    <row r="182" spans="1:4" x14ac:dyDescent="0.3">
      <c r="A182" s="4" t="s">
        <v>1443</v>
      </c>
      <c r="B182" s="44" t="s">
        <v>512</v>
      </c>
      <c r="C182" t="str">
        <f t="shared" si="4"/>
        <v>30TVN3058</v>
      </c>
      <c r="D182" t="str">
        <f t="shared" si="5"/>
        <v>30TVN35</v>
      </c>
    </row>
    <row r="183" spans="1:4" x14ac:dyDescent="0.3">
      <c r="A183" s="11" t="s">
        <v>1443</v>
      </c>
      <c r="B183" s="44" t="s">
        <v>99</v>
      </c>
      <c r="C183" t="str">
        <f t="shared" si="4"/>
        <v>30TVN3155</v>
      </c>
      <c r="D183" t="str">
        <f t="shared" si="5"/>
        <v>30TVN35</v>
      </c>
    </row>
    <row r="184" spans="1:4" x14ac:dyDescent="0.3">
      <c r="A184" s="11" t="s">
        <v>1593</v>
      </c>
      <c r="B184" s="44" t="s">
        <v>35</v>
      </c>
      <c r="C184" t="str">
        <f t="shared" si="4"/>
        <v>30TVN3254</v>
      </c>
      <c r="D184" t="str">
        <f t="shared" si="5"/>
        <v>30TVN35</v>
      </c>
    </row>
    <row r="185" spans="1:4" x14ac:dyDescent="0.3">
      <c r="A185" s="11" t="s">
        <v>1593</v>
      </c>
      <c r="B185" s="44" t="s">
        <v>43</v>
      </c>
      <c r="C185" t="str">
        <f t="shared" si="4"/>
        <v>30TVN3857</v>
      </c>
      <c r="D185" t="str">
        <f t="shared" si="5"/>
        <v>30TVN35</v>
      </c>
    </row>
    <row r="186" spans="1:4" x14ac:dyDescent="0.3">
      <c r="A186" s="4" t="s">
        <v>1445</v>
      </c>
      <c r="B186" s="44" t="s">
        <v>21</v>
      </c>
      <c r="C186" t="str">
        <f t="shared" si="4"/>
        <v>30TVN3858</v>
      </c>
      <c r="D186" t="str">
        <f t="shared" si="5"/>
        <v>30TVN35</v>
      </c>
    </row>
    <row r="187" spans="1:4" x14ac:dyDescent="0.3">
      <c r="A187" s="4" t="s">
        <v>1446</v>
      </c>
      <c r="B187" s="44" t="s">
        <v>451</v>
      </c>
      <c r="C187" t="str">
        <f t="shared" si="4"/>
        <v>30TVN3556</v>
      </c>
      <c r="D187" t="str">
        <f t="shared" si="5"/>
        <v>30TVN35</v>
      </c>
    </row>
    <row r="188" spans="1:4" x14ac:dyDescent="0.3">
      <c r="A188" s="11" t="s">
        <v>1446</v>
      </c>
      <c r="B188" s="44" t="s">
        <v>451</v>
      </c>
      <c r="C188" t="str">
        <f t="shared" si="4"/>
        <v>30TVN3556</v>
      </c>
      <c r="D188" t="str">
        <f t="shared" si="5"/>
        <v>30TVN35</v>
      </c>
    </row>
    <row r="189" spans="1:4" x14ac:dyDescent="0.3">
      <c r="A189" s="4" t="s">
        <v>1446</v>
      </c>
      <c r="B189" s="44" t="s">
        <v>21</v>
      </c>
      <c r="C189" t="str">
        <f t="shared" si="4"/>
        <v>30TVN3858</v>
      </c>
      <c r="D189" t="str">
        <f t="shared" si="5"/>
        <v>30TVN35</v>
      </c>
    </row>
    <row r="190" spans="1:4" x14ac:dyDescent="0.3">
      <c r="A190" s="11" t="s">
        <v>1447</v>
      </c>
      <c r="B190" s="44" t="s">
        <v>345</v>
      </c>
      <c r="C190" t="str">
        <f t="shared" si="4"/>
        <v>30TVN3651</v>
      </c>
      <c r="D190" t="str">
        <f t="shared" si="5"/>
        <v>30TVN35</v>
      </c>
    </row>
    <row r="191" spans="1:4" x14ac:dyDescent="0.3">
      <c r="A191" s="11" t="s">
        <v>1448</v>
      </c>
      <c r="B191" s="44" t="s">
        <v>267</v>
      </c>
      <c r="C191" t="str">
        <f t="shared" si="4"/>
        <v>30TVN3653</v>
      </c>
      <c r="D191" t="str">
        <f t="shared" si="5"/>
        <v>30TVN35</v>
      </c>
    </row>
    <row r="192" spans="1:4" x14ac:dyDescent="0.3">
      <c r="A192" s="11" t="s">
        <v>1449</v>
      </c>
      <c r="B192" s="44" t="s">
        <v>73</v>
      </c>
      <c r="C192" t="str">
        <f t="shared" si="4"/>
        <v>30TVN4053</v>
      </c>
      <c r="D192" t="str">
        <f t="shared" si="5"/>
        <v>30TVN45</v>
      </c>
    </row>
    <row r="193" spans="1:4" x14ac:dyDescent="0.3">
      <c r="A193" s="11" t="s">
        <v>1449</v>
      </c>
      <c r="B193" s="44" t="s">
        <v>345</v>
      </c>
      <c r="C193" t="str">
        <f t="shared" si="4"/>
        <v>30TVN3651</v>
      </c>
      <c r="D193" t="str">
        <f t="shared" si="5"/>
        <v>30TVN35</v>
      </c>
    </row>
    <row r="194" spans="1:4" x14ac:dyDescent="0.3">
      <c r="A194" s="11" t="s">
        <v>1450</v>
      </c>
      <c r="B194" s="44" t="s">
        <v>83</v>
      </c>
      <c r="C194" t="str">
        <f t="shared" si="4"/>
        <v>30TVN3554</v>
      </c>
      <c r="D194" t="str">
        <f t="shared" si="5"/>
        <v>30TVN35</v>
      </c>
    </row>
    <row r="195" spans="1:4" x14ac:dyDescent="0.3">
      <c r="A195" s="11" t="s">
        <v>1450</v>
      </c>
      <c r="B195" s="44" t="s">
        <v>73</v>
      </c>
      <c r="C195" t="str">
        <f t="shared" ref="C195:C258" si="6">_xlfn.CONCAT(MID(B195,1,7),MID(B195,9,2))</f>
        <v>30TVN4053</v>
      </c>
      <c r="D195" t="str">
        <f t="shared" ref="D195:D258" si="7">_xlfn.CONCAT(MID(B195,1,6),MID(B195,9,1))</f>
        <v>30TVN45</v>
      </c>
    </row>
    <row r="196" spans="1:4" x14ac:dyDescent="0.3">
      <c r="A196" s="4" t="s">
        <v>1594</v>
      </c>
      <c r="B196" s="44" t="s">
        <v>29</v>
      </c>
      <c r="C196" t="str">
        <f t="shared" si="6"/>
        <v>30TVN3659</v>
      </c>
      <c r="D196" t="str">
        <f t="shared" si="7"/>
        <v>30TVN35</v>
      </c>
    </row>
    <row r="197" spans="1:4" x14ac:dyDescent="0.3">
      <c r="A197" s="11" t="s">
        <v>1594</v>
      </c>
      <c r="B197" s="44" t="s">
        <v>68</v>
      </c>
      <c r="C197" t="str">
        <f t="shared" si="6"/>
        <v>30TVN3754</v>
      </c>
      <c r="D197" t="str">
        <f t="shared" si="7"/>
        <v>30TVN35</v>
      </c>
    </row>
    <row r="198" spans="1:4" x14ac:dyDescent="0.3">
      <c r="A198" s="11" t="s">
        <v>1595</v>
      </c>
      <c r="B198" s="44" t="s">
        <v>83</v>
      </c>
      <c r="C198" t="str">
        <f t="shared" si="6"/>
        <v>30TVN3554</v>
      </c>
      <c r="D198" t="str">
        <f t="shared" si="7"/>
        <v>30TVN35</v>
      </c>
    </row>
    <row r="199" spans="1:4" x14ac:dyDescent="0.3">
      <c r="A199" s="11" t="s">
        <v>1595</v>
      </c>
      <c r="B199" s="44" t="s">
        <v>63</v>
      </c>
      <c r="C199" t="str">
        <f t="shared" si="6"/>
        <v>30TVN4053</v>
      </c>
      <c r="D199" t="str">
        <f t="shared" si="7"/>
        <v>30TVN45</v>
      </c>
    </row>
    <row r="200" spans="1:4" x14ac:dyDescent="0.3">
      <c r="A200" s="11" t="s">
        <v>1595</v>
      </c>
      <c r="B200" s="44" t="s">
        <v>301</v>
      </c>
      <c r="C200" t="str">
        <f t="shared" si="6"/>
        <v>30TVN3653</v>
      </c>
      <c r="D200" t="str">
        <f t="shared" si="7"/>
        <v>30TVN35</v>
      </c>
    </row>
    <row r="201" spans="1:4" x14ac:dyDescent="0.3">
      <c r="A201" s="4" t="s">
        <v>1595</v>
      </c>
      <c r="B201" s="44" t="s">
        <v>223</v>
      </c>
      <c r="C201" t="str">
        <f t="shared" si="6"/>
        <v>30TVN2856</v>
      </c>
      <c r="D201" t="str">
        <f t="shared" si="7"/>
        <v>30TVN25</v>
      </c>
    </row>
    <row r="202" spans="1:4" x14ac:dyDescent="0.3">
      <c r="A202" s="11" t="s">
        <v>1595</v>
      </c>
      <c r="B202" s="44" t="s">
        <v>172</v>
      </c>
      <c r="C202" t="str">
        <f t="shared" si="6"/>
        <v>30TVN3652</v>
      </c>
      <c r="D202" t="str">
        <f t="shared" si="7"/>
        <v>30TVN35</v>
      </c>
    </row>
    <row r="203" spans="1:4" x14ac:dyDescent="0.3">
      <c r="A203" s="11" t="s">
        <v>1596</v>
      </c>
      <c r="B203" s="44" t="s">
        <v>63</v>
      </c>
      <c r="C203" t="str">
        <f t="shared" si="6"/>
        <v>30TVN4053</v>
      </c>
      <c r="D203" t="str">
        <f t="shared" si="7"/>
        <v>30TVN45</v>
      </c>
    </row>
    <row r="204" spans="1:4" x14ac:dyDescent="0.3">
      <c r="A204" s="11" t="s">
        <v>1596</v>
      </c>
      <c r="B204" s="44" t="s">
        <v>68</v>
      </c>
      <c r="C204" t="str">
        <f t="shared" si="6"/>
        <v>30TVN3754</v>
      </c>
      <c r="D204" t="str">
        <f t="shared" si="7"/>
        <v>30TVN35</v>
      </c>
    </row>
    <row r="205" spans="1:4" x14ac:dyDescent="0.3">
      <c r="A205" s="11" t="s">
        <v>1596</v>
      </c>
      <c r="B205" s="44" t="s">
        <v>267</v>
      </c>
      <c r="C205" t="str">
        <f t="shared" si="6"/>
        <v>30TVN3653</v>
      </c>
      <c r="D205" t="str">
        <f t="shared" si="7"/>
        <v>30TVN35</v>
      </c>
    </row>
    <row r="206" spans="1:4" x14ac:dyDescent="0.3">
      <c r="A206" s="11" t="s">
        <v>1596</v>
      </c>
      <c r="B206" s="44" t="s">
        <v>345</v>
      </c>
      <c r="C206" t="str">
        <f t="shared" si="6"/>
        <v>30TVN3651</v>
      </c>
      <c r="D206" t="str">
        <f t="shared" si="7"/>
        <v>30TVN35</v>
      </c>
    </row>
    <row r="207" spans="1:4" x14ac:dyDescent="0.3">
      <c r="A207" s="11" t="s">
        <v>1454</v>
      </c>
      <c r="B207" s="44" t="s">
        <v>63</v>
      </c>
      <c r="C207" t="str">
        <f t="shared" si="6"/>
        <v>30TVN4053</v>
      </c>
      <c r="D207" t="str">
        <f t="shared" si="7"/>
        <v>30TVN45</v>
      </c>
    </row>
    <row r="208" spans="1:4" x14ac:dyDescent="0.3">
      <c r="A208" s="4" t="s">
        <v>1455</v>
      </c>
      <c r="B208" s="44" t="s">
        <v>29</v>
      </c>
      <c r="C208" t="str">
        <f t="shared" si="6"/>
        <v>30TVN3659</v>
      </c>
      <c r="D208" t="str">
        <f t="shared" si="7"/>
        <v>30TVN35</v>
      </c>
    </row>
    <row r="209" spans="1:4" x14ac:dyDescent="0.3">
      <c r="A209" s="11" t="s">
        <v>1597</v>
      </c>
      <c r="B209" s="44" t="s">
        <v>68</v>
      </c>
      <c r="C209" t="str">
        <f t="shared" si="6"/>
        <v>30TVN3754</v>
      </c>
      <c r="D209" t="str">
        <f t="shared" si="7"/>
        <v>30TVN35</v>
      </c>
    </row>
    <row r="210" spans="1:4" x14ac:dyDescent="0.3">
      <c r="A210" s="11" t="s">
        <v>1598</v>
      </c>
      <c r="B210" s="44" t="s">
        <v>55</v>
      </c>
      <c r="C210" t="str">
        <f t="shared" si="6"/>
        <v>30TVN3655</v>
      </c>
      <c r="D210" t="str">
        <f t="shared" si="7"/>
        <v>30TVN35</v>
      </c>
    </row>
    <row r="211" spans="1:4" x14ac:dyDescent="0.3">
      <c r="A211" s="11" t="s">
        <v>1598</v>
      </c>
      <c r="B211" s="44" t="s">
        <v>83</v>
      </c>
      <c r="C211" t="str">
        <f t="shared" si="6"/>
        <v>30TVN3554</v>
      </c>
      <c r="D211" t="str">
        <f t="shared" si="7"/>
        <v>30TVN35</v>
      </c>
    </row>
    <row r="212" spans="1:4" x14ac:dyDescent="0.3">
      <c r="A212" s="11" t="s">
        <v>1598</v>
      </c>
      <c r="B212" s="44" t="s">
        <v>63</v>
      </c>
      <c r="C212" t="str">
        <f t="shared" si="6"/>
        <v>30TVN4053</v>
      </c>
      <c r="D212" t="str">
        <f t="shared" si="7"/>
        <v>30TVN45</v>
      </c>
    </row>
    <row r="213" spans="1:4" x14ac:dyDescent="0.3">
      <c r="A213" s="11" t="s">
        <v>1598</v>
      </c>
      <c r="B213" s="44" t="s">
        <v>148</v>
      </c>
      <c r="C213" t="str">
        <f t="shared" si="6"/>
        <v>30TVN3754</v>
      </c>
      <c r="D213" t="str">
        <f t="shared" si="7"/>
        <v>30TVN35</v>
      </c>
    </row>
    <row r="214" spans="1:4" x14ac:dyDescent="0.3">
      <c r="A214" s="11" t="s">
        <v>1598</v>
      </c>
      <c r="B214" s="44" t="s">
        <v>267</v>
      </c>
      <c r="C214" t="str">
        <f t="shared" si="6"/>
        <v>30TVN3653</v>
      </c>
      <c r="D214" t="str">
        <f t="shared" si="7"/>
        <v>30TVN35</v>
      </c>
    </row>
    <row r="215" spans="1:4" x14ac:dyDescent="0.3">
      <c r="A215" s="11" t="s">
        <v>1598</v>
      </c>
      <c r="B215" s="44" t="s">
        <v>301</v>
      </c>
      <c r="C215" t="str">
        <f t="shared" si="6"/>
        <v>30TVN3653</v>
      </c>
      <c r="D215" t="str">
        <f t="shared" si="7"/>
        <v>30TVN35</v>
      </c>
    </row>
    <row r="216" spans="1:4" x14ac:dyDescent="0.3">
      <c r="A216" s="4" t="s">
        <v>1458</v>
      </c>
      <c r="B216" s="44" t="s">
        <v>223</v>
      </c>
      <c r="C216" t="str">
        <f t="shared" si="6"/>
        <v>30TVN2856</v>
      </c>
      <c r="D216" t="str">
        <f t="shared" si="7"/>
        <v>30TVN25</v>
      </c>
    </row>
    <row r="217" spans="1:4" x14ac:dyDescent="0.3">
      <c r="A217" s="11" t="s">
        <v>1458</v>
      </c>
      <c r="B217" s="44" t="s">
        <v>345</v>
      </c>
      <c r="C217" t="str">
        <f t="shared" si="6"/>
        <v>30TVN3651</v>
      </c>
      <c r="D217" t="str">
        <f t="shared" si="7"/>
        <v>30TVN35</v>
      </c>
    </row>
    <row r="218" spans="1:4" x14ac:dyDescent="0.3">
      <c r="A218" s="11" t="s">
        <v>1458</v>
      </c>
      <c r="B218" s="44" t="s">
        <v>200</v>
      </c>
      <c r="C218" t="str">
        <f t="shared" si="6"/>
        <v>30TVN3159</v>
      </c>
      <c r="D218" t="str">
        <f t="shared" si="7"/>
        <v>30TVN35</v>
      </c>
    </row>
    <row r="219" spans="1:4" x14ac:dyDescent="0.3">
      <c r="A219" s="11" t="s">
        <v>1459</v>
      </c>
      <c r="B219" s="44" t="s">
        <v>154</v>
      </c>
      <c r="C219" t="str">
        <f t="shared" si="6"/>
        <v>30TVN3951</v>
      </c>
      <c r="D219" t="str">
        <f t="shared" si="7"/>
        <v>30TVN35</v>
      </c>
    </row>
    <row r="220" spans="1:4" x14ac:dyDescent="0.3">
      <c r="A220" s="4" t="s">
        <v>1460</v>
      </c>
      <c r="B220" s="44" t="s">
        <v>13</v>
      </c>
      <c r="C220" t="str">
        <f t="shared" si="6"/>
        <v>30TVN3355</v>
      </c>
      <c r="D220" t="str">
        <f t="shared" si="7"/>
        <v>30TVN35</v>
      </c>
    </row>
    <row r="221" spans="1:4" x14ac:dyDescent="0.3">
      <c r="A221" s="4" t="s">
        <v>1461</v>
      </c>
      <c r="B221" s="44" t="s">
        <v>118</v>
      </c>
      <c r="C221" t="str">
        <f t="shared" si="6"/>
        <v>30TVN3059</v>
      </c>
      <c r="D221" t="str">
        <f t="shared" si="7"/>
        <v>30TVN35</v>
      </c>
    </row>
    <row r="222" spans="1:4" x14ac:dyDescent="0.3">
      <c r="A222" s="4" t="s">
        <v>1599</v>
      </c>
      <c r="B222" s="44" t="s">
        <v>29</v>
      </c>
      <c r="C222" t="str">
        <f t="shared" si="6"/>
        <v>30TVN3659</v>
      </c>
      <c r="D222" t="str">
        <f t="shared" si="7"/>
        <v>30TVN35</v>
      </c>
    </row>
    <row r="223" spans="1:4" x14ac:dyDescent="0.3">
      <c r="A223" s="11" t="s">
        <v>1599</v>
      </c>
      <c r="B223" s="44" t="s">
        <v>83</v>
      </c>
      <c r="C223" t="str">
        <f t="shared" si="6"/>
        <v>30TVN3554</v>
      </c>
      <c r="D223" t="str">
        <f t="shared" si="7"/>
        <v>30TVN35</v>
      </c>
    </row>
    <row r="224" spans="1:4" x14ac:dyDescent="0.3">
      <c r="A224" s="11" t="s">
        <v>1599</v>
      </c>
      <c r="B224" s="44" t="s">
        <v>73</v>
      </c>
      <c r="C224" t="str">
        <f t="shared" si="6"/>
        <v>30TVN4053</v>
      </c>
      <c r="D224" t="str">
        <f t="shared" si="7"/>
        <v>30TVN45</v>
      </c>
    </row>
    <row r="225" spans="1:4" x14ac:dyDescent="0.3">
      <c r="A225" s="11" t="s">
        <v>1599</v>
      </c>
      <c r="B225" s="44" t="s">
        <v>68</v>
      </c>
      <c r="C225" t="str">
        <f t="shared" si="6"/>
        <v>30TVN3754</v>
      </c>
      <c r="D225" t="str">
        <f t="shared" si="7"/>
        <v>30TVN35</v>
      </c>
    </row>
    <row r="226" spans="1:4" x14ac:dyDescent="0.3">
      <c r="A226" s="11" t="s">
        <v>1599</v>
      </c>
      <c r="B226" s="44" t="s">
        <v>148</v>
      </c>
      <c r="C226" t="str">
        <f t="shared" si="6"/>
        <v>30TVN3754</v>
      </c>
      <c r="D226" t="str">
        <f t="shared" si="7"/>
        <v>30TVN35</v>
      </c>
    </row>
    <row r="227" spans="1:4" x14ac:dyDescent="0.3">
      <c r="A227" s="11" t="s">
        <v>1599</v>
      </c>
      <c r="B227" s="44" t="s">
        <v>301</v>
      </c>
      <c r="C227" t="str">
        <f t="shared" si="6"/>
        <v>30TVN3653</v>
      </c>
      <c r="D227" t="str">
        <f t="shared" si="7"/>
        <v>30TVN35</v>
      </c>
    </row>
    <row r="228" spans="1:4" x14ac:dyDescent="0.3">
      <c r="A228" s="11" t="s">
        <v>1599</v>
      </c>
      <c r="B228" s="44" t="s">
        <v>172</v>
      </c>
      <c r="C228" t="str">
        <f t="shared" si="6"/>
        <v>30TVN3652</v>
      </c>
      <c r="D228" t="str">
        <f t="shared" si="7"/>
        <v>30TVN35</v>
      </c>
    </row>
    <row r="229" spans="1:4" x14ac:dyDescent="0.3">
      <c r="A229" s="11" t="s">
        <v>1463</v>
      </c>
      <c r="B229" s="44" t="s">
        <v>63</v>
      </c>
      <c r="C229" t="str">
        <f t="shared" si="6"/>
        <v>30TVN4053</v>
      </c>
      <c r="D229" t="str">
        <f t="shared" si="7"/>
        <v>30TVN45</v>
      </c>
    </row>
    <row r="230" spans="1:4" x14ac:dyDescent="0.3">
      <c r="A230" s="11" t="s">
        <v>1463</v>
      </c>
      <c r="B230" s="44" t="s">
        <v>68</v>
      </c>
      <c r="C230" t="str">
        <f t="shared" si="6"/>
        <v>30TVN3754</v>
      </c>
      <c r="D230" t="str">
        <f t="shared" si="7"/>
        <v>30TVN35</v>
      </c>
    </row>
    <row r="231" spans="1:4" x14ac:dyDescent="0.3">
      <c r="A231" s="11" t="s">
        <v>1463</v>
      </c>
      <c r="B231" s="44" t="s">
        <v>267</v>
      </c>
      <c r="C231" t="str">
        <f t="shared" si="6"/>
        <v>30TVN3653</v>
      </c>
      <c r="D231" t="str">
        <f t="shared" si="7"/>
        <v>30TVN35</v>
      </c>
    </row>
    <row r="232" spans="1:4" x14ac:dyDescent="0.3">
      <c r="A232" s="11" t="s">
        <v>1463</v>
      </c>
      <c r="B232" s="44" t="s">
        <v>172</v>
      </c>
      <c r="C232" t="str">
        <f t="shared" si="6"/>
        <v>30TVN3652</v>
      </c>
      <c r="D232" t="str">
        <f t="shared" si="7"/>
        <v>30TVN35</v>
      </c>
    </row>
    <row r="233" spans="1:4" x14ac:dyDescent="0.3">
      <c r="A233" s="11" t="s">
        <v>1464</v>
      </c>
      <c r="B233" s="44" t="s">
        <v>384</v>
      </c>
      <c r="C233" t="str">
        <f t="shared" si="6"/>
        <v>30TVN3551</v>
      </c>
      <c r="D233" t="str">
        <f t="shared" si="7"/>
        <v>30TVN35</v>
      </c>
    </row>
    <row r="234" spans="1:4" x14ac:dyDescent="0.3">
      <c r="A234" s="11" t="s">
        <v>1465</v>
      </c>
      <c r="B234" s="44" t="s">
        <v>73</v>
      </c>
      <c r="C234" t="str">
        <f t="shared" si="6"/>
        <v>30TVN4053</v>
      </c>
      <c r="D234" t="str">
        <f t="shared" si="7"/>
        <v>30TVN45</v>
      </c>
    </row>
    <row r="235" spans="1:4" x14ac:dyDescent="0.3">
      <c r="A235" s="4" t="s">
        <v>1466</v>
      </c>
      <c r="B235" s="44" t="s">
        <v>512</v>
      </c>
      <c r="C235" t="str">
        <f t="shared" si="6"/>
        <v>30TVN3058</v>
      </c>
      <c r="D235" t="str">
        <f t="shared" si="7"/>
        <v>30TVN35</v>
      </c>
    </row>
    <row r="236" spans="1:4" x14ac:dyDescent="0.3">
      <c r="A236" s="11" t="s">
        <v>1466</v>
      </c>
      <c r="B236" s="44" t="s">
        <v>345</v>
      </c>
      <c r="C236" t="str">
        <f t="shared" si="6"/>
        <v>30TVN3651</v>
      </c>
      <c r="D236" t="str">
        <f t="shared" si="7"/>
        <v>30TVN35</v>
      </c>
    </row>
    <row r="237" spans="1:4" x14ac:dyDescent="0.3">
      <c r="A237" s="11" t="s">
        <v>1467</v>
      </c>
      <c r="B237" s="44" t="s">
        <v>384</v>
      </c>
      <c r="C237" t="str">
        <f t="shared" si="6"/>
        <v>30TVN3551</v>
      </c>
      <c r="D237" t="str">
        <f t="shared" si="7"/>
        <v>30TVN35</v>
      </c>
    </row>
    <row r="238" spans="1:4" x14ac:dyDescent="0.3">
      <c r="A238" s="11" t="s">
        <v>1468</v>
      </c>
      <c r="B238" s="44" t="s">
        <v>187</v>
      </c>
      <c r="C238" t="str">
        <f t="shared" si="6"/>
        <v>30TVN3651</v>
      </c>
      <c r="D238" t="str">
        <f t="shared" si="7"/>
        <v>30TVN35</v>
      </c>
    </row>
    <row r="239" spans="1:4" x14ac:dyDescent="0.3">
      <c r="A239" s="4" t="s">
        <v>1600</v>
      </c>
      <c r="B239" s="44" t="s">
        <v>118</v>
      </c>
      <c r="C239" t="str">
        <f t="shared" si="6"/>
        <v>30TVN3059</v>
      </c>
      <c r="D239" t="str">
        <f t="shared" si="7"/>
        <v>30TVN35</v>
      </c>
    </row>
    <row r="240" spans="1:4" x14ac:dyDescent="0.3">
      <c r="A240" s="4" t="s">
        <v>1601</v>
      </c>
      <c r="B240" s="44" t="s">
        <v>223</v>
      </c>
      <c r="C240" t="str">
        <f t="shared" si="6"/>
        <v>30TVN2856</v>
      </c>
      <c r="D240" t="str">
        <f t="shared" si="7"/>
        <v>30TVN25</v>
      </c>
    </row>
    <row r="241" spans="1:4" x14ac:dyDescent="0.3">
      <c r="A241" s="11" t="s">
        <v>1601</v>
      </c>
      <c r="B241" s="44" t="s">
        <v>187</v>
      </c>
      <c r="C241" t="str">
        <f t="shared" si="6"/>
        <v>30TVN3651</v>
      </c>
      <c r="D241" t="str">
        <f t="shared" si="7"/>
        <v>30TVN35</v>
      </c>
    </row>
    <row r="242" spans="1:4" x14ac:dyDescent="0.3">
      <c r="A242" s="11" t="s">
        <v>1601</v>
      </c>
      <c r="B242" s="44" t="s">
        <v>384</v>
      </c>
      <c r="C242" t="str">
        <f t="shared" si="6"/>
        <v>30TVN3551</v>
      </c>
      <c r="D242" t="str">
        <f t="shared" si="7"/>
        <v>30TVN35</v>
      </c>
    </row>
    <row r="243" spans="1:4" x14ac:dyDescent="0.3">
      <c r="A243" s="11" t="s">
        <v>1601</v>
      </c>
      <c r="B243" s="44" t="s">
        <v>172</v>
      </c>
      <c r="C243" t="str">
        <f t="shared" si="6"/>
        <v>30TVN3652</v>
      </c>
      <c r="D243" t="str">
        <f t="shared" si="7"/>
        <v>30TVN35</v>
      </c>
    </row>
    <row r="244" spans="1:4" x14ac:dyDescent="0.3">
      <c r="A244" s="4" t="s">
        <v>1471</v>
      </c>
      <c r="B244" s="44" t="s">
        <v>29</v>
      </c>
      <c r="C244" t="str">
        <f t="shared" si="6"/>
        <v>30TVN3659</v>
      </c>
      <c r="D244" t="str">
        <f t="shared" si="7"/>
        <v>30TVN35</v>
      </c>
    </row>
    <row r="245" spans="1:4" x14ac:dyDescent="0.3">
      <c r="A245" s="11" t="s">
        <v>1602</v>
      </c>
      <c r="B245" s="44" t="s">
        <v>172</v>
      </c>
      <c r="C245" t="str">
        <f t="shared" si="6"/>
        <v>30TVN3652</v>
      </c>
      <c r="D245" t="str">
        <f t="shared" si="7"/>
        <v>30TVN35</v>
      </c>
    </row>
    <row r="246" spans="1:4" x14ac:dyDescent="0.3">
      <c r="A246" s="11" t="s">
        <v>1603</v>
      </c>
      <c r="B246" s="44" t="s">
        <v>187</v>
      </c>
      <c r="C246" t="str">
        <f t="shared" si="6"/>
        <v>30TVN3651</v>
      </c>
      <c r="D246" t="str">
        <f t="shared" si="7"/>
        <v>30TVN35</v>
      </c>
    </row>
    <row r="247" spans="1:4" x14ac:dyDescent="0.3">
      <c r="A247" s="4" t="s">
        <v>1474</v>
      </c>
      <c r="B247" s="44" t="s">
        <v>141</v>
      </c>
      <c r="C247" t="str">
        <f t="shared" si="6"/>
        <v>30TVN3551</v>
      </c>
      <c r="D247" t="str">
        <f t="shared" si="7"/>
        <v>30TVN35</v>
      </c>
    </row>
    <row r="248" spans="1:4" x14ac:dyDescent="0.3">
      <c r="A248" s="4" t="s">
        <v>1604</v>
      </c>
      <c r="B248" s="44" t="s">
        <v>29</v>
      </c>
      <c r="C248" t="str">
        <f t="shared" si="6"/>
        <v>30TVN3659</v>
      </c>
      <c r="D248" t="str">
        <f t="shared" si="7"/>
        <v>30TVN35</v>
      </c>
    </row>
    <row r="249" spans="1:4" x14ac:dyDescent="0.3">
      <c r="A249" s="11" t="s">
        <v>1604</v>
      </c>
      <c r="B249" s="44" t="s">
        <v>384</v>
      </c>
      <c r="C249" t="str">
        <f t="shared" si="6"/>
        <v>30TVN3551</v>
      </c>
      <c r="D249" t="str">
        <f t="shared" si="7"/>
        <v>30TVN35</v>
      </c>
    </row>
    <row r="250" spans="1:4" x14ac:dyDescent="0.3">
      <c r="A250" s="11" t="s">
        <v>1604</v>
      </c>
      <c r="B250" s="44" t="s">
        <v>172</v>
      </c>
      <c r="C250" t="str">
        <f t="shared" si="6"/>
        <v>30TVN3652</v>
      </c>
      <c r="D250" t="str">
        <f t="shared" si="7"/>
        <v>30TVN35</v>
      </c>
    </row>
    <row r="251" spans="1:4" x14ac:dyDescent="0.3">
      <c r="A251" s="4" t="s">
        <v>1476</v>
      </c>
      <c r="B251" s="44" t="s">
        <v>29</v>
      </c>
      <c r="C251" t="str">
        <f t="shared" si="6"/>
        <v>30TVN3659</v>
      </c>
      <c r="D251" t="str">
        <f t="shared" si="7"/>
        <v>30TVN35</v>
      </c>
    </row>
    <row r="252" spans="1:4" x14ac:dyDescent="0.3">
      <c r="A252" s="11" t="s">
        <v>1605</v>
      </c>
      <c r="B252" s="44" t="s">
        <v>187</v>
      </c>
      <c r="C252" t="str">
        <f t="shared" si="6"/>
        <v>30TVN3651</v>
      </c>
      <c r="D252" t="str">
        <f t="shared" si="7"/>
        <v>30TVN35</v>
      </c>
    </row>
    <row r="253" spans="1:4" x14ac:dyDescent="0.3">
      <c r="A253" s="4" t="s">
        <v>1605</v>
      </c>
      <c r="B253" s="44" t="s">
        <v>118</v>
      </c>
      <c r="C253" t="str">
        <f t="shared" si="6"/>
        <v>30TVN3059</v>
      </c>
      <c r="D253" t="str">
        <f t="shared" si="7"/>
        <v>30TVN35</v>
      </c>
    </row>
    <row r="254" spans="1:4" x14ac:dyDescent="0.3">
      <c r="A254" s="4" t="s">
        <v>1478</v>
      </c>
      <c r="B254" s="44" t="s">
        <v>29</v>
      </c>
      <c r="C254" t="str">
        <f t="shared" si="6"/>
        <v>30TVN3659</v>
      </c>
      <c r="D254" t="str">
        <f t="shared" si="7"/>
        <v>30TVN35</v>
      </c>
    </row>
    <row r="255" spans="1:4" x14ac:dyDescent="0.3">
      <c r="A255" s="11" t="s">
        <v>1478</v>
      </c>
      <c r="B255" s="44" t="s">
        <v>83</v>
      </c>
      <c r="C255" t="str">
        <f t="shared" si="6"/>
        <v>30TVN3554</v>
      </c>
      <c r="D255" t="str">
        <f t="shared" si="7"/>
        <v>30TVN35</v>
      </c>
    </row>
    <row r="256" spans="1:4" x14ac:dyDescent="0.3">
      <c r="A256" s="11" t="s">
        <v>1478</v>
      </c>
      <c r="B256" s="44" t="s">
        <v>73</v>
      </c>
      <c r="C256" t="str">
        <f t="shared" si="6"/>
        <v>30TVN4053</v>
      </c>
      <c r="D256" t="str">
        <f t="shared" si="7"/>
        <v>30TVN45</v>
      </c>
    </row>
    <row r="257" spans="1:4" x14ac:dyDescent="0.3">
      <c r="A257" s="4" t="s">
        <v>1478</v>
      </c>
      <c r="B257" s="44" t="s">
        <v>223</v>
      </c>
      <c r="C257" t="str">
        <f t="shared" si="6"/>
        <v>30TVN2856</v>
      </c>
      <c r="D257" t="str">
        <f t="shared" si="7"/>
        <v>30TVN25</v>
      </c>
    </row>
    <row r="258" spans="1:4" x14ac:dyDescent="0.3">
      <c r="A258" s="11" t="s">
        <v>1478</v>
      </c>
      <c r="B258" s="44" t="s">
        <v>384</v>
      </c>
      <c r="C258" t="str">
        <f t="shared" si="6"/>
        <v>30TVN3551</v>
      </c>
      <c r="D258" t="str">
        <f t="shared" si="7"/>
        <v>30TVN35</v>
      </c>
    </row>
    <row r="259" spans="1:4" x14ac:dyDescent="0.3">
      <c r="A259" s="11" t="s">
        <v>1606</v>
      </c>
      <c r="B259" s="44" t="s">
        <v>187</v>
      </c>
      <c r="C259" t="str">
        <f t="shared" ref="C259:C322" si="8">_xlfn.CONCAT(MID(B259,1,7),MID(B259,9,2))</f>
        <v>30TVN3651</v>
      </c>
      <c r="D259" t="str">
        <f t="shared" ref="D259:D322" si="9">_xlfn.CONCAT(MID(B259,1,6),MID(B259,9,1))</f>
        <v>30TVN35</v>
      </c>
    </row>
    <row r="260" spans="1:4" x14ac:dyDescent="0.3">
      <c r="A260" s="11" t="s">
        <v>1607</v>
      </c>
      <c r="B260" s="44" t="s">
        <v>187</v>
      </c>
      <c r="C260" t="str">
        <f t="shared" si="8"/>
        <v>30TVN3651</v>
      </c>
      <c r="D260" t="str">
        <f t="shared" si="9"/>
        <v>30TVN35</v>
      </c>
    </row>
    <row r="261" spans="1:4" x14ac:dyDescent="0.3">
      <c r="A261" s="4" t="s">
        <v>1607</v>
      </c>
      <c r="B261" s="44" t="s">
        <v>118</v>
      </c>
      <c r="C261" t="str">
        <f t="shared" si="8"/>
        <v>30TVN3059</v>
      </c>
      <c r="D261" t="str">
        <f t="shared" si="9"/>
        <v>30TVN35</v>
      </c>
    </row>
    <row r="262" spans="1:4" x14ac:dyDescent="0.3">
      <c r="A262" s="11" t="s">
        <v>1481</v>
      </c>
      <c r="B262" s="44" t="s">
        <v>35</v>
      </c>
      <c r="C262" t="str">
        <f t="shared" si="8"/>
        <v>30TVN3254</v>
      </c>
      <c r="D262" t="str">
        <f t="shared" si="9"/>
        <v>30TVN35</v>
      </c>
    </row>
    <row r="263" spans="1:4" x14ac:dyDescent="0.3">
      <c r="A263" s="11" t="s">
        <v>1481</v>
      </c>
      <c r="B263" s="44" t="s">
        <v>91</v>
      </c>
      <c r="C263" t="str">
        <f t="shared" si="8"/>
        <v>30TVN3353</v>
      </c>
      <c r="D263" t="str">
        <f t="shared" si="9"/>
        <v>30TVN35</v>
      </c>
    </row>
    <row r="264" spans="1:4" x14ac:dyDescent="0.3">
      <c r="A264" s="11" t="s">
        <v>1481</v>
      </c>
      <c r="B264" s="44" t="s">
        <v>573</v>
      </c>
      <c r="C264" t="str">
        <f t="shared" si="8"/>
        <v>30TVN3353</v>
      </c>
      <c r="D264" t="str">
        <f t="shared" si="9"/>
        <v>30TVN35</v>
      </c>
    </row>
    <row r="265" spans="1:4" x14ac:dyDescent="0.3">
      <c r="A265" s="4" t="s">
        <v>1481</v>
      </c>
      <c r="B265" s="44" t="s">
        <v>21</v>
      </c>
      <c r="C265" t="str">
        <f t="shared" si="8"/>
        <v>30TVN3858</v>
      </c>
      <c r="D265" t="str">
        <f t="shared" si="9"/>
        <v>30TVN35</v>
      </c>
    </row>
    <row r="266" spans="1:4" x14ac:dyDescent="0.3">
      <c r="A266" s="11" t="s">
        <v>1481</v>
      </c>
      <c r="B266" s="44" t="s">
        <v>51</v>
      </c>
      <c r="C266" t="str">
        <f t="shared" si="8"/>
        <v>30TVN3957</v>
      </c>
      <c r="D266" t="str">
        <f t="shared" si="9"/>
        <v>30TVN35</v>
      </c>
    </row>
    <row r="267" spans="1:4" x14ac:dyDescent="0.3">
      <c r="A267" s="11" t="s">
        <v>1608</v>
      </c>
      <c r="B267" s="44" t="s">
        <v>55</v>
      </c>
      <c r="C267" t="str">
        <f t="shared" si="8"/>
        <v>30TVN3655</v>
      </c>
      <c r="D267" t="str">
        <f t="shared" si="9"/>
        <v>30TVN35</v>
      </c>
    </row>
    <row r="268" spans="1:4" x14ac:dyDescent="0.3">
      <c r="A268" s="11" t="s">
        <v>1608</v>
      </c>
      <c r="B268" s="44" t="s">
        <v>63</v>
      </c>
      <c r="C268" t="str">
        <f t="shared" si="8"/>
        <v>30TVN4053</v>
      </c>
      <c r="D268" t="str">
        <f t="shared" si="9"/>
        <v>30TVN45</v>
      </c>
    </row>
    <row r="269" spans="1:4" x14ac:dyDescent="0.3">
      <c r="A269" s="11" t="s">
        <v>1608</v>
      </c>
      <c r="B269" s="44" t="s">
        <v>301</v>
      </c>
      <c r="C269" t="str">
        <f t="shared" si="8"/>
        <v>30TVN3653</v>
      </c>
      <c r="D269" t="str">
        <f t="shared" si="9"/>
        <v>30TVN35</v>
      </c>
    </row>
    <row r="270" spans="1:4" x14ac:dyDescent="0.3">
      <c r="A270" s="11" t="s">
        <v>1483</v>
      </c>
      <c r="B270" s="44" t="s">
        <v>68</v>
      </c>
      <c r="C270" t="str">
        <f t="shared" si="8"/>
        <v>30TVN3754</v>
      </c>
      <c r="D270" t="str">
        <f t="shared" si="9"/>
        <v>30TVN35</v>
      </c>
    </row>
    <row r="271" spans="1:4" x14ac:dyDescent="0.3">
      <c r="A271" s="11" t="s">
        <v>1483</v>
      </c>
      <c r="B271" s="44" t="s">
        <v>148</v>
      </c>
      <c r="C271" t="str">
        <f t="shared" si="8"/>
        <v>30TVN3754</v>
      </c>
      <c r="D271" t="str">
        <f t="shared" si="9"/>
        <v>30TVN35</v>
      </c>
    </row>
    <row r="272" spans="1:4" x14ac:dyDescent="0.3">
      <c r="A272" s="11" t="s">
        <v>1609</v>
      </c>
      <c r="B272" s="44" t="s">
        <v>384</v>
      </c>
      <c r="C272" t="str">
        <f t="shared" si="8"/>
        <v>30TVN3551</v>
      </c>
      <c r="D272" t="str">
        <f t="shared" si="9"/>
        <v>30TVN35</v>
      </c>
    </row>
    <row r="273" spans="1:4" x14ac:dyDescent="0.3">
      <c r="A273" s="11" t="s">
        <v>1485</v>
      </c>
      <c r="B273" s="44" t="s">
        <v>43</v>
      </c>
      <c r="C273" t="str">
        <f t="shared" si="8"/>
        <v>30TVN3857</v>
      </c>
      <c r="D273" t="str">
        <f t="shared" si="9"/>
        <v>30TVN35</v>
      </c>
    </row>
    <row r="274" spans="1:4" x14ac:dyDescent="0.3">
      <c r="A274" s="11" t="s">
        <v>1486</v>
      </c>
      <c r="B274" s="44" t="s">
        <v>55</v>
      </c>
      <c r="C274" t="str">
        <f t="shared" si="8"/>
        <v>30TVN3655</v>
      </c>
      <c r="D274" t="str">
        <f t="shared" si="9"/>
        <v>30TVN35</v>
      </c>
    </row>
    <row r="275" spans="1:4" x14ac:dyDescent="0.3">
      <c r="A275" s="11" t="s">
        <v>1487</v>
      </c>
      <c r="B275" s="44" t="s">
        <v>63</v>
      </c>
      <c r="C275" t="str">
        <f t="shared" si="8"/>
        <v>30TVN4053</v>
      </c>
      <c r="D275" t="str">
        <f t="shared" si="9"/>
        <v>30TVN45</v>
      </c>
    </row>
    <row r="276" spans="1:4" x14ac:dyDescent="0.3">
      <c r="A276" s="4" t="s">
        <v>1488</v>
      </c>
      <c r="B276" s="44" t="s">
        <v>21</v>
      </c>
      <c r="C276" t="str">
        <f t="shared" si="8"/>
        <v>30TVN3858</v>
      </c>
      <c r="D276" t="str">
        <f t="shared" si="9"/>
        <v>30TVN35</v>
      </c>
    </row>
    <row r="277" spans="1:4" x14ac:dyDescent="0.3">
      <c r="A277" s="11" t="s">
        <v>1489</v>
      </c>
      <c r="B277" s="44" t="s">
        <v>301</v>
      </c>
      <c r="C277" t="str">
        <f t="shared" si="8"/>
        <v>30TVN3653</v>
      </c>
      <c r="D277" t="str">
        <f t="shared" si="9"/>
        <v>30TVN35</v>
      </c>
    </row>
    <row r="278" spans="1:4" x14ac:dyDescent="0.3">
      <c r="A278" s="11" t="s">
        <v>1490</v>
      </c>
      <c r="B278" s="44" t="s">
        <v>55</v>
      </c>
      <c r="C278" t="str">
        <f t="shared" si="8"/>
        <v>30TVN3655</v>
      </c>
      <c r="D278" t="str">
        <f t="shared" si="9"/>
        <v>30TVN35</v>
      </c>
    </row>
    <row r="279" spans="1:4" x14ac:dyDescent="0.3">
      <c r="A279" s="11" t="s">
        <v>1491</v>
      </c>
      <c r="B279" s="44" t="s">
        <v>35</v>
      </c>
      <c r="C279" t="str">
        <f t="shared" si="8"/>
        <v>30TVN3254</v>
      </c>
      <c r="D279" t="str">
        <f t="shared" si="9"/>
        <v>30TVN35</v>
      </c>
    </row>
    <row r="280" spans="1:4" x14ac:dyDescent="0.3">
      <c r="A280" s="11" t="s">
        <v>1491</v>
      </c>
      <c r="B280" s="44" t="s">
        <v>451</v>
      </c>
      <c r="C280" t="str">
        <f t="shared" si="8"/>
        <v>30TVN3556</v>
      </c>
      <c r="D280" t="str">
        <f t="shared" si="9"/>
        <v>30TVN35</v>
      </c>
    </row>
    <row r="281" spans="1:4" x14ac:dyDescent="0.3">
      <c r="A281" s="11" t="s">
        <v>1492</v>
      </c>
      <c r="B281" s="44" t="s">
        <v>187</v>
      </c>
      <c r="C281" t="str">
        <f t="shared" si="8"/>
        <v>30TVN3651</v>
      </c>
      <c r="D281" t="str">
        <f t="shared" si="9"/>
        <v>30TVN35</v>
      </c>
    </row>
    <row r="282" spans="1:4" x14ac:dyDescent="0.3">
      <c r="A282" s="11" t="s">
        <v>1492</v>
      </c>
      <c r="B282" s="44" t="s">
        <v>192</v>
      </c>
      <c r="C282" t="str">
        <f t="shared" si="8"/>
        <v>30TVN3259</v>
      </c>
      <c r="D282" t="str">
        <f t="shared" si="9"/>
        <v>30TVN35</v>
      </c>
    </row>
    <row r="283" spans="1:4" x14ac:dyDescent="0.3">
      <c r="A283" s="11" t="s">
        <v>1493</v>
      </c>
      <c r="B283" s="44" t="s">
        <v>148</v>
      </c>
      <c r="C283" t="str">
        <f t="shared" si="8"/>
        <v>30TVN3754</v>
      </c>
      <c r="D283" t="str">
        <f t="shared" si="9"/>
        <v>30TVN35</v>
      </c>
    </row>
    <row r="284" spans="1:4" x14ac:dyDescent="0.3">
      <c r="A284" s="11" t="s">
        <v>1493</v>
      </c>
      <c r="B284" s="44" t="s">
        <v>154</v>
      </c>
      <c r="C284" t="str">
        <f t="shared" si="8"/>
        <v>30TVN3951</v>
      </c>
      <c r="D284" t="str">
        <f t="shared" si="9"/>
        <v>30TVN35</v>
      </c>
    </row>
    <row r="285" spans="1:4" x14ac:dyDescent="0.3">
      <c r="A285" s="11" t="s">
        <v>1610</v>
      </c>
      <c r="B285" s="44" t="s">
        <v>68</v>
      </c>
      <c r="C285" t="str">
        <f t="shared" si="8"/>
        <v>30TVN3754</v>
      </c>
      <c r="D285" t="str">
        <f t="shared" si="9"/>
        <v>30TVN35</v>
      </c>
    </row>
    <row r="286" spans="1:4" x14ac:dyDescent="0.3">
      <c r="A286" s="11" t="s">
        <v>1610</v>
      </c>
      <c r="B286" s="44" t="s">
        <v>148</v>
      </c>
      <c r="C286" t="str">
        <f t="shared" si="8"/>
        <v>30TVN3754</v>
      </c>
      <c r="D286" t="str">
        <f t="shared" si="9"/>
        <v>30TVN35</v>
      </c>
    </row>
    <row r="287" spans="1:4" x14ac:dyDescent="0.3">
      <c r="A287" s="4" t="s">
        <v>1495</v>
      </c>
      <c r="B287" s="44" t="s">
        <v>29</v>
      </c>
      <c r="C287" t="str">
        <f t="shared" si="8"/>
        <v>30TVN3659</v>
      </c>
      <c r="D287" t="str">
        <f t="shared" si="9"/>
        <v>30TVN35</v>
      </c>
    </row>
    <row r="288" spans="1:4" x14ac:dyDescent="0.3">
      <c r="A288" s="11" t="s">
        <v>1496</v>
      </c>
      <c r="B288" s="44" t="s">
        <v>345</v>
      </c>
      <c r="C288" t="str">
        <f t="shared" si="8"/>
        <v>30TVN3651</v>
      </c>
      <c r="D288" t="str">
        <f t="shared" si="9"/>
        <v>30TVN35</v>
      </c>
    </row>
    <row r="289" spans="1:4" x14ac:dyDescent="0.3">
      <c r="A289" s="11" t="s">
        <v>1611</v>
      </c>
      <c r="B289" s="44" t="s">
        <v>573</v>
      </c>
      <c r="C289" t="str">
        <f t="shared" si="8"/>
        <v>30TVN3353</v>
      </c>
      <c r="D289" t="str">
        <f t="shared" si="9"/>
        <v>30TVN35</v>
      </c>
    </row>
    <row r="290" spans="1:4" x14ac:dyDescent="0.3">
      <c r="A290" s="4" t="s">
        <v>1498</v>
      </c>
      <c r="B290" s="44" t="s">
        <v>118</v>
      </c>
      <c r="C290" t="str">
        <f t="shared" si="8"/>
        <v>30TVN3059</v>
      </c>
      <c r="D290" t="str">
        <f t="shared" si="9"/>
        <v>30TVN35</v>
      </c>
    </row>
    <row r="291" spans="1:4" x14ac:dyDescent="0.3">
      <c r="A291" s="11" t="s">
        <v>1498</v>
      </c>
      <c r="B291" s="44" t="s">
        <v>236</v>
      </c>
      <c r="C291" t="str">
        <f t="shared" si="8"/>
        <v>30TVN3059</v>
      </c>
      <c r="D291" t="str">
        <f t="shared" si="9"/>
        <v>30TVN35</v>
      </c>
    </row>
    <row r="292" spans="1:4" x14ac:dyDescent="0.3">
      <c r="A292" s="11" t="s">
        <v>1499</v>
      </c>
      <c r="B292" s="44" t="s">
        <v>187</v>
      </c>
      <c r="C292" t="str">
        <f t="shared" si="8"/>
        <v>30TVN3651</v>
      </c>
      <c r="D292" t="str">
        <f t="shared" si="9"/>
        <v>30TVN35</v>
      </c>
    </row>
    <row r="293" spans="1:4" x14ac:dyDescent="0.3">
      <c r="A293" s="11" t="s">
        <v>1499</v>
      </c>
      <c r="B293" s="44" t="s">
        <v>345</v>
      </c>
      <c r="C293" t="str">
        <f t="shared" si="8"/>
        <v>30TVN3651</v>
      </c>
      <c r="D293" t="str">
        <f t="shared" si="9"/>
        <v>30TVN35</v>
      </c>
    </row>
    <row r="294" spans="1:4" x14ac:dyDescent="0.3">
      <c r="A294" s="11" t="s">
        <v>1612</v>
      </c>
      <c r="B294" s="44" t="s">
        <v>345</v>
      </c>
      <c r="C294" t="str">
        <f t="shared" si="8"/>
        <v>30TVN3651</v>
      </c>
      <c r="D294" t="str">
        <f t="shared" si="9"/>
        <v>30TVN35</v>
      </c>
    </row>
    <row r="295" spans="1:4" x14ac:dyDescent="0.3">
      <c r="A295" s="4" t="s">
        <v>1501</v>
      </c>
      <c r="B295" s="44" t="s">
        <v>21</v>
      </c>
      <c r="C295" t="str">
        <f t="shared" si="8"/>
        <v>30TVN3858</v>
      </c>
      <c r="D295" t="str">
        <f t="shared" si="9"/>
        <v>30TVN35</v>
      </c>
    </row>
    <row r="296" spans="1:4" x14ac:dyDescent="0.3">
      <c r="A296" s="4" t="s">
        <v>1501</v>
      </c>
      <c r="B296" s="44" t="s">
        <v>118</v>
      </c>
      <c r="C296" t="str">
        <f t="shared" si="8"/>
        <v>30TVN3059</v>
      </c>
      <c r="D296" t="str">
        <f t="shared" si="9"/>
        <v>30TVN35</v>
      </c>
    </row>
    <row r="297" spans="1:4" x14ac:dyDescent="0.3">
      <c r="A297" s="11" t="s">
        <v>1502</v>
      </c>
      <c r="B297" s="44" t="s">
        <v>301</v>
      </c>
      <c r="C297" t="str">
        <f t="shared" si="8"/>
        <v>30TVN3653</v>
      </c>
      <c r="D297" t="str">
        <f t="shared" si="9"/>
        <v>30TVN35</v>
      </c>
    </row>
    <row r="298" spans="1:4" x14ac:dyDescent="0.3">
      <c r="A298" s="11" t="s">
        <v>1613</v>
      </c>
      <c r="B298" s="44" t="s">
        <v>63</v>
      </c>
      <c r="C298" t="str">
        <f t="shared" si="8"/>
        <v>30TVN4053</v>
      </c>
      <c r="D298" t="str">
        <f t="shared" si="9"/>
        <v>30TVN45</v>
      </c>
    </row>
    <row r="299" spans="1:4" x14ac:dyDescent="0.3">
      <c r="A299" s="11" t="s">
        <v>1613</v>
      </c>
      <c r="B299" s="44" t="s">
        <v>267</v>
      </c>
      <c r="C299" t="str">
        <f t="shared" si="8"/>
        <v>30TVN3653</v>
      </c>
      <c r="D299" t="str">
        <f t="shared" si="9"/>
        <v>30TVN35</v>
      </c>
    </row>
    <row r="300" spans="1:4" x14ac:dyDescent="0.3">
      <c r="A300" s="11" t="s">
        <v>1613</v>
      </c>
      <c r="B300" s="44" t="s">
        <v>301</v>
      </c>
      <c r="C300" t="str">
        <f t="shared" si="8"/>
        <v>30TVN3653</v>
      </c>
      <c r="D300" t="str">
        <f t="shared" si="9"/>
        <v>30TVN35</v>
      </c>
    </row>
    <row r="301" spans="1:4" x14ac:dyDescent="0.3">
      <c r="A301" s="4" t="s">
        <v>1504</v>
      </c>
      <c r="B301" s="44" t="s">
        <v>512</v>
      </c>
      <c r="C301" t="str">
        <f t="shared" si="8"/>
        <v>30TVN3058</v>
      </c>
      <c r="D301" t="str">
        <f t="shared" si="9"/>
        <v>30TVN35</v>
      </c>
    </row>
    <row r="302" spans="1:4" x14ac:dyDescent="0.3">
      <c r="A302" s="11" t="s">
        <v>1504</v>
      </c>
      <c r="B302" s="44" t="s">
        <v>573</v>
      </c>
      <c r="C302" t="str">
        <f t="shared" si="8"/>
        <v>30TVN3353</v>
      </c>
      <c r="D302" t="str">
        <f t="shared" si="9"/>
        <v>30TVN35</v>
      </c>
    </row>
    <row r="303" spans="1:4" x14ac:dyDescent="0.3">
      <c r="A303" s="11" t="s">
        <v>1504</v>
      </c>
      <c r="B303" s="44" t="s">
        <v>391</v>
      </c>
      <c r="C303" t="str">
        <f t="shared" si="8"/>
        <v>30TVN3357</v>
      </c>
      <c r="D303" t="str">
        <f t="shared" si="9"/>
        <v>30TVN35</v>
      </c>
    </row>
    <row r="304" spans="1:4" x14ac:dyDescent="0.3">
      <c r="A304" s="4" t="s">
        <v>1614</v>
      </c>
      <c r="B304" s="44" t="s">
        <v>13</v>
      </c>
      <c r="C304" t="str">
        <f t="shared" si="8"/>
        <v>30TVN3355</v>
      </c>
      <c r="D304" t="str">
        <f t="shared" si="9"/>
        <v>30TVN35</v>
      </c>
    </row>
    <row r="305" spans="1:4" x14ac:dyDescent="0.3">
      <c r="A305" s="11" t="s">
        <v>1614</v>
      </c>
      <c r="B305" s="44" t="s">
        <v>73</v>
      </c>
      <c r="C305" t="str">
        <f t="shared" si="8"/>
        <v>30TVN4053</v>
      </c>
      <c r="D305" t="str">
        <f t="shared" si="9"/>
        <v>30TVN45</v>
      </c>
    </row>
    <row r="306" spans="1:4" x14ac:dyDescent="0.3">
      <c r="A306" s="11" t="s">
        <v>1506</v>
      </c>
      <c r="B306" s="44" t="s">
        <v>35</v>
      </c>
      <c r="C306" t="str">
        <f t="shared" si="8"/>
        <v>30TVN3254</v>
      </c>
      <c r="D306" t="str">
        <f t="shared" si="9"/>
        <v>30TVN35</v>
      </c>
    </row>
    <row r="307" spans="1:4" x14ac:dyDescent="0.3">
      <c r="A307" s="11" t="s">
        <v>1506</v>
      </c>
      <c r="B307" s="44" t="s">
        <v>99</v>
      </c>
      <c r="C307" t="str">
        <f t="shared" si="8"/>
        <v>30TVN3155</v>
      </c>
      <c r="D307" t="str">
        <f t="shared" si="9"/>
        <v>30TVN35</v>
      </c>
    </row>
    <row r="308" spans="1:4" x14ac:dyDescent="0.3">
      <c r="A308" s="4" t="s">
        <v>1615</v>
      </c>
      <c r="B308" s="44" t="s">
        <v>512</v>
      </c>
      <c r="C308" t="str">
        <f t="shared" si="8"/>
        <v>30TVN3058</v>
      </c>
      <c r="D308" t="str">
        <f t="shared" si="9"/>
        <v>30TVN35</v>
      </c>
    </row>
    <row r="309" spans="1:4" x14ac:dyDescent="0.3">
      <c r="A309" s="11" t="s">
        <v>1615</v>
      </c>
      <c r="B309" s="44" t="s">
        <v>99</v>
      </c>
      <c r="C309" t="str">
        <f t="shared" si="8"/>
        <v>30TVN3155</v>
      </c>
      <c r="D309" t="str">
        <f t="shared" si="9"/>
        <v>30TVN35</v>
      </c>
    </row>
    <row r="310" spans="1:4" x14ac:dyDescent="0.3">
      <c r="A310" s="11" t="s">
        <v>1615</v>
      </c>
      <c r="B310" s="44" t="s">
        <v>131</v>
      </c>
      <c r="C310" t="str">
        <f t="shared" si="8"/>
        <v>30TVN3560</v>
      </c>
      <c r="D310" t="str">
        <f t="shared" si="9"/>
        <v>30TVN36</v>
      </c>
    </row>
    <row r="311" spans="1:4" x14ac:dyDescent="0.3">
      <c r="A311" s="11" t="s">
        <v>1508</v>
      </c>
      <c r="B311" s="44" t="s">
        <v>451</v>
      </c>
      <c r="C311" t="str">
        <f t="shared" si="8"/>
        <v>30TVN3556</v>
      </c>
      <c r="D311" t="str">
        <f t="shared" si="9"/>
        <v>30TVN35</v>
      </c>
    </row>
    <row r="312" spans="1:4" x14ac:dyDescent="0.3">
      <c r="A312" s="11" t="s">
        <v>1616</v>
      </c>
      <c r="B312" s="44" t="s">
        <v>35</v>
      </c>
      <c r="C312" t="str">
        <f t="shared" si="8"/>
        <v>30TVN3254</v>
      </c>
      <c r="D312" t="str">
        <f t="shared" si="9"/>
        <v>30TVN35</v>
      </c>
    </row>
    <row r="313" spans="1:4" x14ac:dyDescent="0.3">
      <c r="A313" s="11" t="s">
        <v>1616</v>
      </c>
      <c r="B313" s="44" t="s">
        <v>91</v>
      </c>
      <c r="C313" t="str">
        <f t="shared" si="8"/>
        <v>30TVN3353</v>
      </c>
      <c r="D313" t="str">
        <f t="shared" si="9"/>
        <v>30TVN35</v>
      </c>
    </row>
    <row r="314" spans="1:4" x14ac:dyDescent="0.3">
      <c r="A314" s="11" t="s">
        <v>1616</v>
      </c>
      <c r="B314" s="44" t="s">
        <v>43</v>
      </c>
      <c r="C314" t="str">
        <f t="shared" si="8"/>
        <v>30TVN3857</v>
      </c>
      <c r="D314" t="str">
        <f t="shared" si="9"/>
        <v>30TVN35</v>
      </c>
    </row>
    <row r="315" spans="1:4" x14ac:dyDescent="0.3">
      <c r="A315" s="11" t="s">
        <v>1510</v>
      </c>
      <c r="B315" s="44" t="s">
        <v>35</v>
      </c>
      <c r="C315" t="str">
        <f t="shared" si="8"/>
        <v>30TVN3254</v>
      </c>
      <c r="D315" t="str">
        <f t="shared" si="9"/>
        <v>30TVN35</v>
      </c>
    </row>
    <row r="316" spans="1:4" x14ac:dyDescent="0.3">
      <c r="A316" s="4" t="s">
        <v>1617</v>
      </c>
      <c r="B316" s="44" t="s">
        <v>13</v>
      </c>
      <c r="C316" t="str">
        <f t="shared" si="8"/>
        <v>30TVN3355</v>
      </c>
      <c r="D316" t="str">
        <f t="shared" si="9"/>
        <v>30TVN35</v>
      </c>
    </row>
    <row r="317" spans="1:4" x14ac:dyDescent="0.3">
      <c r="A317" s="4" t="s">
        <v>1512</v>
      </c>
      <c r="B317" s="44" t="s">
        <v>512</v>
      </c>
      <c r="C317" t="str">
        <f t="shared" si="8"/>
        <v>30TVN3058</v>
      </c>
      <c r="D317" t="str">
        <f t="shared" si="9"/>
        <v>30TVN35</v>
      </c>
    </row>
    <row r="318" spans="1:4" x14ac:dyDescent="0.3">
      <c r="A318" s="11" t="s">
        <v>1512</v>
      </c>
      <c r="B318" s="44" t="s">
        <v>99</v>
      </c>
      <c r="C318" t="str">
        <f t="shared" si="8"/>
        <v>30TVN3155</v>
      </c>
      <c r="D318" t="str">
        <f t="shared" si="9"/>
        <v>30TVN35</v>
      </c>
    </row>
    <row r="319" spans="1:4" x14ac:dyDescent="0.3">
      <c r="A319" s="11" t="s">
        <v>1512</v>
      </c>
      <c r="B319" s="44" t="s">
        <v>573</v>
      </c>
      <c r="C319" t="str">
        <f t="shared" si="8"/>
        <v>30TVN3353</v>
      </c>
      <c r="D319" t="str">
        <f t="shared" si="9"/>
        <v>30TVN35</v>
      </c>
    </row>
    <row r="320" spans="1:4" x14ac:dyDescent="0.3">
      <c r="A320" s="11" t="s">
        <v>1512</v>
      </c>
      <c r="B320" s="44" t="s">
        <v>131</v>
      </c>
      <c r="C320" t="str">
        <f t="shared" si="8"/>
        <v>30TVN3560</v>
      </c>
      <c r="D320" t="str">
        <f t="shared" si="9"/>
        <v>30TVN36</v>
      </c>
    </row>
    <row r="321" spans="1:4" x14ac:dyDescent="0.3">
      <c r="A321" s="11" t="s">
        <v>1512</v>
      </c>
      <c r="B321" s="44" t="s">
        <v>187</v>
      </c>
      <c r="C321" t="str">
        <f t="shared" si="8"/>
        <v>30TVN3651</v>
      </c>
      <c r="D321" t="str">
        <f t="shared" si="9"/>
        <v>30TVN35</v>
      </c>
    </row>
    <row r="322" spans="1:4" x14ac:dyDescent="0.3">
      <c r="A322" s="11" t="s">
        <v>1513</v>
      </c>
      <c r="B322" s="44" t="s">
        <v>68</v>
      </c>
      <c r="C322" t="str">
        <f t="shared" si="8"/>
        <v>30TVN3754</v>
      </c>
      <c r="D322" t="str">
        <f t="shared" si="9"/>
        <v>30TVN35</v>
      </c>
    </row>
    <row r="323" spans="1:4" x14ac:dyDescent="0.3">
      <c r="A323" s="11" t="s">
        <v>1618</v>
      </c>
      <c r="B323" s="44" t="s">
        <v>131</v>
      </c>
      <c r="C323" t="str">
        <f t="shared" ref="C323:C386" si="10">_xlfn.CONCAT(MID(B323,1,7),MID(B323,9,2))</f>
        <v>30TVN3560</v>
      </c>
      <c r="D323" t="str">
        <f t="shared" ref="D323:D386" si="11">_xlfn.CONCAT(MID(B323,1,6),MID(B323,9,1))</f>
        <v>30TVN36</v>
      </c>
    </row>
    <row r="324" spans="1:4" x14ac:dyDescent="0.3">
      <c r="A324" s="11" t="s">
        <v>1618</v>
      </c>
      <c r="B324" s="44" t="s">
        <v>236</v>
      </c>
      <c r="C324" t="str">
        <f t="shared" si="10"/>
        <v>30TVN3059</v>
      </c>
      <c r="D324" t="str">
        <f t="shared" si="11"/>
        <v>30TVN35</v>
      </c>
    </row>
    <row r="325" spans="1:4" x14ac:dyDescent="0.3">
      <c r="A325" s="11" t="s">
        <v>1619</v>
      </c>
      <c r="B325" s="44" t="s">
        <v>68</v>
      </c>
      <c r="C325" t="str">
        <f t="shared" si="10"/>
        <v>30TVN3754</v>
      </c>
      <c r="D325" t="str">
        <f t="shared" si="11"/>
        <v>30TVN35</v>
      </c>
    </row>
    <row r="326" spans="1:4" x14ac:dyDescent="0.3">
      <c r="A326" s="11" t="s">
        <v>1619</v>
      </c>
      <c r="B326" s="44" t="s">
        <v>172</v>
      </c>
      <c r="C326" t="str">
        <f t="shared" si="10"/>
        <v>30TVN3652</v>
      </c>
      <c r="D326" t="str">
        <f t="shared" si="11"/>
        <v>30TVN35</v>
      </c>
    </row>
    <row r="327" spans="1:4" x14ac:dyDescent="0.3">
      <c r="A327" s="11" t="s">
        <v>1516</v>
      </c>
      <c r="B327" s="44" t="s">
        <v>68</v>
      </c>
      <c r="C327" t="str">
        <f t="shared" si="10"/>
        <v>30TVN3754</v>
      </c>
      <c r="D327" t="str">
        <f t="shared" si="11"/>
        <v>30TVN35</v>
      </c>
    </row>
    <row r="328" spans="1:4" x14ac:dyDescent="0.3">
      <c r="A328" s="11" t="s">
        <v>1517</v>
      </c>
      <c r="B328" s="44" t="s">
        <v>91</v>
      </c>
      <c r="C328" t="str">
        <f t="shared" si="10"/>
        <v>30TVN3353</v>
      </c>
      <c r="D328" t="str">
        <f t="shared" si="11"/>
        <v>30TVN35</v>
      </c>
    </row>
    <row r="329" spans="1:4" x14ac:dyDescent="0.3">
      <c r="A329" s="11" t="s">
        <v>1518</v>
      </c>
      <c r="B329" s="44" t="s">
        <v>301</v>
      </c>
      <c r="C329" t="str">
        <f t="shared" si="10"/>
        <v>30TVN3653</v>
      </c>
      <c r="D329" t="str">
        <f t="shared" si="11"/>
        <v>30TVN35</v>
      </c>
    </row>
    <row r="330" spans="1:4" x14ac:dyDescent="0.3">
      <c r="A330" s="11" t="s">
        <v>1519</v>
      </c>
      <c r="B330" s="44" t="s">
        <v>391</v>
      </c>
      <c r="C330" t="str">
        <f t="shared" si="10"/>
        <v>30TVN3357</v>
      </c>
      <c r="D330" t="str">
        <f t="shared" si="11"/>
        <v>30TVN35</v>
      </c>
    </row>
    <row r="331" spans="1:4" x14ac:dyDescent="0.3">
      <c r="A331" s="4" t="s">
        <v>1520</v>
      </c>
      <c r="B331" s="44" t="s">
        <v>21</v>
      </c>
      <c r="C331" t="str">
        <f t="shared" si="10"/>
        <v>30TVN3858</v>
      </c>
      <c r="D331" t="str">
        <f t="shared" si="11"/>
        <v>30TVN35</v>
      </c>
    </row>
    <row r="332" spans="1:4" x14ac:dyDescent="0.3">
      <c r="A332" s="4" t="s">
        <v>1521</v>
      </c>
      <c r="B332" s="44" t="s">
        <v>512</v>
      </c>
      <c r="C332" t="str">
        <f t="shared" si="10"/>
        <v>30TVN3058</v>
      </c>
      <c r="D332" t="str">
        <f t="shared" si="11"/>
        <v>30TVN35</v>
      </c>
    </row>
    <row r="333" spans="1:4" x14ac:dyDescent="0.3">
      <c r="A333" s="11" t="s">
        <v>1521</v>
      </c>
      <c r="B333" s="44" t="s">
        <v>187</v>
      </c>
      <c r="C333" t="str">
        <f t="shared" si="10"/>
        <v>30TVN3651</v>
      </c>
      <c r="D333" t="str">
        <f t="shared" si="11"/>
        <v>30TVN35</v>
      </c>
    </row>
    <row r="334" spans="1:4" x14ac:dyDescent="0.3">
      <c r="A334" s="11" t="s">
        <v>1521</v>
      </c>
      <c r="B334" s="44" t="s">
        <v>527</v>
      </c>
      <c r="C334" t="str">
        <f t="shared" si="10"/>
        <v>30TVN3259</v>
      </c>
      <c r="D334" t="str">
        <f t="shared" si="11"/>
        <v>30TVN35</v>
      </c>
    </row>
    <row r="335" spans="1:4" x14ac:dyDescent="0.3">
      <c r="A335" s="4" t="s">
        <v>1522</v>
      </c>
      <c r="B335" s="44" t="s">
        <v>13</v>
      </c>
      <c r="C335" t="str">
        <f t="shared" si="10"/>
        <v>30TVN3355</v>
      </c>
      <c r="D335" t="str">
        <f t="shared" si="11"/>
        <v>30TVN35</v>
      </c>
    </row>
    <row r="336" spans="1:4" x14ac:dyDescent="0.3">
      <c r="A336" s="11" t="s">
        <v>1522</v>
      </c>
      <c r="B336" s="44" t="s">
        <v>73</v>
      </c>
      <c r="C336" t="str">
        <f t="shared" si="10"/>
        <v>30TVN4053</v>
      </c>
      <c r="D336" t="str">
        <f t="shared" si="11"/>
        <v>30TVN45</v>
      </c>
    </row>
    <row r="337" spans="1:4" x14ac:dyDescent="0.3">
      <c r="A337" s="4" t="s">
        <v>1522</v>
      </c>
      <c r="B337" s="44" t="s">
        <v>223</v>
      </c>
      <c r="C337" t="str">
        <f t="shared" si="10"/>
        <v>30TVN2856</v>
      </c>
      <c r="D337" t="str">
        <f t="shared" si="11"/>
        <v>30TVN25</v>
      </c>
    </row>
    <row r="338" spans="1:4" x14ac:dyDescent="0.3">
      <c r="A338" s="11" t="s">
        <v>1522</v>
      </c>
      <c r="B338" s="44" t="s">
        <v>384</v>
      </c>
      <c r="C338" t="str">
        <f t="shared" si="10"/>
        <v>30TVN3551</v>
      </c>
      <c r="D338" t="str">
        <f t="shared" si="11"/>
        <v>30TVN35</v>
      </c>
    </row>
    <row r="339" spans="1:4" x14ac:dyDescent="0.3">
      <c r="A339" s="11" t="s">
        <v>1522</v>
      </c>
      <c r="B339" s="44" t="s">
        <v>172</v>
      </c>
      <c r="C339" t="str">
        <f t="shared" si="10"/>
        <v>30TVN3652</v>
      </c>
      <c r="D339" t="str">
        <f t="shared" si="11"/>
        <v>30TVN35</v>
      </c>
    </row>
    <row r="340" spans="1:4" x14ac:dyDescent="0.3">
      <c r="A340" s="11" t="s">
        <v>1523</v>
      </c>
      <c r="B340" s="44" t="s">
        <v>200</v>
      </c>
      <c r="C340" t="str">
        <f t="shared" si="10"/>
        <v>30TVN3159</v>
      </c>
      <c r="D340" t="str">
        <f t="shared" si="11"/>
        <v>30TVN35</v>
      </c>
    </row>
    <row r="341" spans="1:4" x14ac:dyDescent="0.3">
      <c r="A341" s="4" t="s">
        <v>1524</v>
      </c>
      <c r="B341" s="44" t="s">
        <v>29</v>
      </c>
      <c r="C341" t="str">
        <f t="shared" si="10"/>
        <v>30TVN3659</v>
      </c>
      <c r="D341" t="str">
        <f t="shared" si="11"/>
        <v>30TVN35</v>
      </c>
    </row>
    <row r="342" spans="1:4" x14ac:dyDescent="0.3">
      <c r="A342" s="11" t="s">
        <v>1524</v>
      </c>
      <c r="B342" s="44" t="s">
        <v>68</v>
      </c>
      <c r="C342" t="str">
        <f t="shared" si="10"/>
        <v>30TVN3754</v>
      </c>
      <c r="D342" t="str">
        <f t="shared" si="11"/>
        <v>30TVN35</v>
      </c>
    </row>
    <row r="343" spans="1:4" x14ac:dyDescent="0.3">
      <c r="A343" s="4" t="s">
        <v>1525</v>
      </c>
      <c r="B343" s="44" t="s">
        <v>55</v>
      </c>
      <c r="C343" t="str">
        <f t="shared" si="10"/>
        <v>30TVN3655</v>
      </c>
      <c r="D343" t="str">
        <f t="shared" si="11"/>
        <v>30TVN35</v>
      </c>
    </row>
    <row r="344" spans="1:4" x14ac:dyDescent="0.3">
      <c r="A344" s="4" t="s">
        <v>1526</v>
      </c>
      <c r="B344" s="44" t="s">
        <v>118</v>
      </c>
      <c r="C344" t="str">
        <f t="shared" si="10"/>
        <v>30TVN3059</v>
      </c>
      <c r="D344" t="str">
        <f t="shared" si="11"/>
        <v>30TVN35</v>
      </c>
    </row>
    <row r="345" spans="1:4" x14ac:dyDescent="0.3">
      <c r="A345" s="4" t="s">
        <v>1527</v>
      </c>
      <c r="B345" s="44" t="s">
        <v>512</v>
      </c>
      <c r="C345" t="str">
        <f t="shared" si="10"/>
        <v>30TVN3058</v>
      </c>
      <c r="D345" t="str">
        <f t="shared" si="11"/>
        <v>30TVN35</v>
      </c>
    </row>
    <row r="346" spans="1:4" x14ac:dyDescent="0.3">
      <c r="A346" s="11" t="s">
        <v>1528</v>
      </c>
      <c r="B346" s="44" t="s">
        <v>236</v>
      </c>
      <c r="C346" t="str">
        <f t="shared" si="10"/>
        <v>30TVN3059</v>
      </c>
      <c r="D346" t="str">
        <f t="shared" si="11"/>
        <v>30TVN35</v>
      </c>
    </row>
    <row r="347" spans="1:4" x14ac:dyDescent="0.3">
      <c r="A347" s="11" t="s">
        <v>1528</v>
      </c>
      <c r="B347" s="44" t="s">
        <v>466</v>
      </c>
      <c r="C347" t="str">
        <f t="shared" si="10"/>
        <v>30TVN3059</v>
      </c>
      <c r="D347" t="str">
        <f t="shared" si="11"/>
        <v>30TVN35</v>
      </c>
    </row>
    <row r="348" spans="1:4" x14ac:dyDescent="0.3">
      <c r="A348" s="4" t="s">
        <v>1529</v>
      </c>
      <c r="B348" s="44" t="s">
        <v>118</v>
      </c>
      <c r="C348" t="str">
        <f t="shared" si="10"/>
        <v>30TVN3059</v>
      </c>
      <c r="D348" t="str">
        <f t="shared" si="11"/>
        <v>30TVN35</v>
      </c>
    </row>
    <row r="349" spans="1:4" x14ac:dyDescent="0.3">
      <c r="A349" s="11" t="s">
        <v>1620</v>
      </c>
      <c r="B349" s="44" t="s">
        <v>301</v>
      </c>
      <c r="C349" t="str">
        <f t="shared" si="10"/>
        <v>30TVN3653</v>
      </c>
      <c r="D349" t="str">
        <f t="shared" si="11"/>
        <v>30TVN35</v>
      </c>
    </row>
    <row r="350" spans="1:4" x14ac:dyDescent="0.3">
      <c r="A350" s="11" t="s">
        <v>1531</v>
      </c>
      <c r="B350" s="44" t="s">
        <v>301</v>
      </c>
      <c r="C350" t="str">
        <f t="shared" si="10"/>
        <v>30TVN3653</v>
      </c>
      <c r="D350" t="str">
        <f t="shared" si="11"/>
        <v>30TVN35</v>
      </c>
    </row>
    <row r="351" spans="1:4" x14ac:dyDescent="0.3">
      <c r="A351" s="11" t="s">
        <v>1621</v>
      </c>
      <c r="B351" s="44" t="s">
        <v>83</v>
      </c>
      <c r="C351" t="str">
        <f t="shared" si="10"/>
        <v>30TVN3554</v>
      </c>
      <c r="D351" t="str">
        <f t="shared" si="11"/>
        <v>30TVN35</v>
      </c>
    </row>
    <row r="352" spans="1:4" x14ac:dyDescent="0.3">
      <c r="A352" s="11" t="s">
        <v>1621</v>
      </c>
      <c r="B352" s="44" t="s">
        <v>73</v>
      </c>
      <c r="C352" t="str">
        <f t="shared" si="10"/>
        <v>30TVN4053</v>
      </c>
      <c r="D352" t="str">
        <f t="shared" si="11"/>
        <v>30TVN45</v>
      </c>
    </row>
    <row r="353" spans="1:4" x14ac:dyDescent="0.3">
      <c r="A353" s="11" t="s">
        <v>1621</v>
      </c>
      <c r="B353" s="44" t="s">
        <v>573</v>
      </c>
      <c r="C353" t="str">
        <f t="shared" si="10"/>
        <v>30TVN3353</v>
      </c>
      <c r="D353" t="str">
        <f t="shared" si="11"/>
        <v>30TVN35</v>
      </c>
    </row>
    <row r="354" spans="1:4" x14ac:dyDescent="0.3">
      <c r="A354" s="11" t="s">
        <v>1621</v>
      </c>
      <c r="B354" s="44" t="s">
        <v>187</v>
      </c>
      <c r="C354" t="str">
        <f t="shared" si="10"/>
        <v>30TVN3651</v>
      </c>
      <c r="D354" t="str">
        <f t="shared" si="11"/>
        <v>30TVN35</v>
      </c>
    </row>
    <row r="355" spans="1:4" x14ac:dyDescent="0.3">
      <c r="A355" s="11" t="s">
        <v>1621</v>
      </c>
      <c r="B355" s="44" t="s">
        <v>384</v>
      </c>
      <c r="C355" t="str">
        <f t="shared" si="10"/>
        <v>30TVN3551</v>
      </c>
      <c r="D355" t="str">
        <f t="shared" si="11"/>
        <v>30TVN35</v>
      </c>
    </row>
    <row r="356" spans="1:4" x14ac:dyDescent="0.3">
      <c r="A356" s="11" t="s">
        <v>1621</v>
      </c>
      <c r="B356" s="44" t="s">
        <v>172</v>
      </c>
      <c r="C356" t="str">
        <f t="shared" si="10"/>
        <v>30TVN3652</v>
      </c>
      <c r="D356" t="str">
        <f t="shared" si="11"/>
        <v>30TVN35</v>
      </c>
    </row>
    <row r="357" spans="1:4" x14ac:dyDescent="0.3">
      <c r="A357" s="11" t="s">
        <v>1622</v>
      </c>
      <c r="B357" s="44" t="s">
        <v>83</v>
      </c>
      <c r="C357" t="str">
        <f t="shared" si="10"/>
        <v>30TVN3554</v>
      </c>
      <c r="D357" t="str">
        <f t="shared" si="11"/>
        <v>30TVN35</v>
      </c>
    </row>
    <row r="358" spans="1:4" x14ac:dyDescent="0.3">
      <c r="A358" s="11" t="s">
        <v>1623</v>
      </c>
      <c r="B358" s="44" t="s">
        <v>83</v>
      </c>
      <c r="C358" t="str">
        <f t="shared" si="10"/>
        <v>30TVN3554</v>
      </c>
      <c r="D358" t="str">
        <f t="shared" si="11"/>
        <v>30TVN35</v>
      </c>
    </row>
    <row r="359" spans="1:4" x14ac:dyDescent="0.3">
      <c r="A359" s="11" t="s">
        <v>1623</v>
      </c>
      <c r="B359" s="44" t="s">
        <v>63</v>
      </c>
      <c r="C359" t="str">
        <f t="shared" si="10"/>
        <v>30TVN4053</v>
      </c>
      <c r="D359" t="str">
        <f t="shared" si="11"/>
        <v>30TVN45</v>
      </c>
    </row>
    <row r="360" spans="1:4" x14ac:dyDescent="0.3">
      <c r="A360" s="11" t="s">
        <v>1623</v>
      </c>
      <c r="B360" s="44" t="s">
        <v>68</v>
      </c>
      <c r="C360" t="str">
        <f t="shared" si="10"/>
        <v>30TVN3754</v>
      </c>
      <c r="D360" t="str">
        <f t="shared" si="11"/>
        <v>30TVN35</v>
      </c>
    </row>
    <row r="361" spans="1:4" x14ac:dyDescent="0.3">
      <c r="A361" s="11" t="s">
        <v>1623</v>
      </c>
      <c r="B361" s="44" t="s">
        <v>267</v>
      </c>
      <c r="C361" t="str">
        <f t="shared" si="10"/>
        <v>30TVN3653</v>
      </c>
      <c r="D361" t="str">
        <f t="shared" si="11"/>
        <v>30TVN35</v>
      </c>
    </row>
    <row r="362" spans="1:4" x14ac:dyDescent="0.3">
      <c r="A362" s="11" t="s">
        <v>1623</v>
      </c>
      <c r="B362" s="44" t="s">
        <v>301</v>
      </c>
      <c r="C362" t="str">
        <f t="shared" si="10"/>
        <v>30TVN3653</v>
      </c>
      <c r="D362" t="str">
        <f t="shared" si="11"/>
        <v>30TVN35</v>
      </c>
    </row>
    <row r="363" spans="1:4" x14ac:dyDescent="0.3">
      <c r="A363" s="11" t="s">
        <v>1623</v>
      </c>
      <c r="B363" s="44" t="s">
        <v>172</v>
      </c>
      <c r="C363" t="str">
        <f t="shared" si="10"/>
        <v>30TVN3652</v>
      </c>
      <c r="D363" t="str">
        <f t="shared" si="11"/>
        <v>30TVN35</v>
      </c>
    </row>
    <row r="364" spans="1:4" x14ac:dyDescent="0.3">
      <c r="A364" s="11" t="s">
        <v>1535</v>
      </c>
      <c r="B364" s="44" t="s">
        <v>35</v>
      </c>
      <c r="C364" t="str">
        <f t="shared" si="10"/>
        <v>30TVN3254</v>
      </c>
      <c r="D364" t="str">
        <f t="shared" si="11"/>
        <v>30TVN35</v>
      </c>
    </row>
    <row r="365" spans="1:4" x14ac:dyDescent="0.3">
      <c r="A365" s="11" t="s">
        <v>1535</v>
      </c>
      <c r="B365" s="44" t="s">
        <v>573</v>
      </c>
      <c r="C365" t="str">
        <f t="shared" si="10"/>
        <v>30TVN3353</v>
      </c>
      <c r="D365" t="str">
        <f t="shared" si="11"/>
        <v>30TVN35</v>
      </c>
    </row>
    <row r="366" spans="1:4" x14ac:dyDescent="0.3">
      <c r="A366" s="11" t="s">
        <v>1536</v>
      </c>
      <c r="B366" s="44" t="s">
        <v>73</v>
      </c>
      <c r="C366" t="str">
        <f t="shared" si="10"/>
        <v>30TVN4053</v>
      </c>
      <c r="D366" t="str">
        <f t="shared" si="11"/>
        <v>30TVN45</v>
      </c>
    </row>
    <row r="367" spans="1:4" x14ac:dyDescent="0.3">
      <c r="A367" s="11" t="s">
        <v>1536</v>
      </c>
      <c r="B367" s="44" t="s">
        <v>154</v>
      </c>
      <c r="C367" t="str">
        <f t="shared" si="10"/>
        <v>30TVN3951</v>
      </c>
      <c r="D367" t="str">
        <f t="shared" si="11"/>
        <v>30TVN35</v>
      </c>
    </row>
    <row r="368" spans="1:4" x14ac:dyDescent="0.3">
      <c r="A368" s="11" t="s">
        <v>1536</v>
      </c>
      <c r="B368" s="44" t="s">
        <v>384</v>
      </c>
      <c r="C368" t="str">
        <f t="shared" si="10"/>
        <v>30TVN3551</v>
      </c>
      <c r="D368" t="str">
        <f t="shared" si="11"/>
        <v>30TVN35</v>
      </c>
    </row>
    <row r="369" spans="1:4" x14ac:dyDescent="0.3">
      <c r="A369" s="11" t="s">
        <v>1536</v>
      </c>
      <c r="B369" s="44" t="s">
        <v>200</v>
      </c>
      <c r="C369" t="str">
        <f t="shared" si="10"/>
        <v>30TVN3159</v>
      </c>
      <c r="D369" t="str">
        <f t="shared" si="11"/>
        <v>30TVN35</v>
      </c>
    </row>
    <row r="370" spans="1:4" x14ac:dyDescent="0.3">
      <c r="A370" s="4" t="s">
        <v>1537</v>
      </c>
      <c r="B370" s="44" t="s">
        <v>512</v>
      </c>
      <c r="C370" t="str">
        <f t="shared" si="10"/>
        <v>30TVN3058</v>
      </c>
      <c r="D370" t="str">
        <f t="shared" si="11"/>
        <v>30TVN35</v>
      </c>
    </row>
    <row r="371" spans="1:4" x14ac:dyDescent="0.3">
      <c r="A371" s="11" t="s">
        <v>1537</v>
      </c>
      <c r="B371" s="44" t="s">
        <v>267</v>
      </c>
      <c r="C371" t="str">
        <f t="shared" si="10"/>
        <v>30TVN3653</v>
      </c>
      <c r="D371" t="str">
        <f t="shared" si="11"/>
        <v>30TVN35</v>
      </c>
    </row>
    <row r="372" spans="1:4" x14ac:dyDescent="0.3">
      <c r="A372" s="11" t="s">
        <v>1538</v>
      </c>
      <c r="B372" s="44" t="s">
        <v>35</v>
      </c>
      <c r="C372" t="str">
        <f t="shared" si="10"/>
        <v>30TVN3254</v>
      </c>
      <c r="D372" t="str">
        <f t="shared" si="11"/>
        <v>30TVN35</v>
      </c>
    </row>
    <row r="373" spans="1:4" x14ac:dyDescent="0.3">
      <c r="A373" s="11" t="s">
        <v>1539</v>
      </c>
      <c r="B373" s="44" t="s">
        <v>236</v>
      </c>
      <c r="C373" t="str">
        <f t="shared" si="10"/>
        <v>30TVN3059</v>
      </c>
      <c r="D373" t="str">
        <f t="shared" si="11"/>
        <v>30TVN35</v>
      </c>
    </row>
    <row r="374" spans="1:4" x14ac:dyDescent="0.3">
      <c r="A374" s="11" t="s">
        <v>1624</v>
      </c>
      <c r="B374" s="44" t="s">
        <v>83</v>
      </c>
      <c r="C374" t="str">
        <f t="shared" si="10"/>
        <v>30TVN3554</v>
      </c>
      <c r="D374" t="str">
        <f t="shared" si="11"/>
        <v>30TVN35</v>
      </c>
    </row>
    <row r="375" spans="1:4" x14ac:dyDescent="0.3">
      <c r="A375" s="11" t="s">
        <v>1541</v>
      </c>
      <c r="B375" s="44" t="s">
        <v>83</v>
      </c>
      <c r="C375" t="str">
        <f t="shared" si="10"/>
        <v>30TVN3554</v>
      </c>
      <c r="D375" t="str">
        <f t="shared" si="11"/>
        <v>30TVN35</v>
      </c>
    </row>
    <row r="376" spans="1:4" x14ac:dyDescent="0.3">
      <c r="A376" s="11" t="s">
        <v>1541</v>
      </c>
      <c r="B376" s="44" t="s">
        <v>63</v>
      </c>
      <c r="C376" t="str">
        <f t="shared" si="10"/>
        <v>30TVN4053</v>
      </c>
      <c r="D376" t="str">
        <f t="shared" si="11"/>
        <v>30TVN45</v>
      </c>
    </row>
    <row r="377" spans="1:4" x14ac:dyDescent="0.3">
      <c r="A377" s="11" t="s">
        <v>1541</v>
      </c>
      <c r="B377" s="44" t="s">
        <v>301</v>
      </c>
      <c r="C377" t="str">
        <f t="shared" si="10"/>
        <v>30TVN3653</v>
      </c>
      <c r="D377" t="str">
        <f t="shared" si="11"/>
        <v>30TVN35</v>
      </c>
    </row>
    <row r="378" spans="1:4" x14ac:dyDescent="0.3">
      <c r="A378" s="11" t="s">
        <v>1542</v>
      </c>
      <c r="B378" s="44" t="s">
        <v>63</v>
      </c>
      <c r="C378" t="str">
        <f t="shared" si="10"/>
        <v>30TVN4053</v>
      </c>
      <c r="D378" t="str">
        <f t="shared" si="11"/>
        <v>30TVN45</v>
      </c>
    </row>
    <row r="379" spans="1:4" x14ac:dyDescent="0.3">
      <c r="A379" s="11" t="s">
        <v>1625</v>
      </c>
      <c r="B379" s="44" t="s">
        <v>192</v>
      </c>
      <c r="C379" t="str">
        <f t="shared" si="10"/>
        <v>30TVN3259</v>
      </c>
      <c r="D379" t="str">
        <f t="shared" si="11"/>
        <v>30TVN35</v>
      </c>
    </row>
    <row r="380" spans="1:4" x14ac:dyDescent="0.3">
      <c r="A380" s="11" t="s">
        <v>1625</v>
      </c>
      <c r="B380" s="44" t="s">
        <v>384</v>
      </c>
      <c r="C380" t="str">
        <f t="shared" si="10"/>
        <v>30TVN3551</v>
      </c>
      <c r="D380" t="str">
        <f t="shared" si="11"/>
        <v>30TVN35</v>
      </c>
    </row>
    <row r="381" spans="1:4" x14ac:dyDescent="0.3">
      <c r="A381" s="11" t="s">
        <v>1625</v>
      </c>
      <c r="B381" s="44" t="s">
        <v>236</v>
      </c>
      <c r="C381" t="str">
        <f t="shared" si="10"/>
        <v>30TVN3059</v>
      </c>
      <c r="D381" t="str">
        <f t="shared" si="11"/>
        <v>30TVN35</v>
      </c>
    </row>
    <row r="382" spans="1:4" x14ac:dyDescent="0.3">
      <c r="A382" s="11" t="s">
        <v>1625</v>
      </c>
      <c r="B382" s="44" t="s">
        <v>200</v>
      </c>
      <c r="C382" t="str">
        <f t="shared" si="10"/>
        <v>30TVN3159</v>
      </c>
      <c r="D382" t="str">
        <f t="shared" si="11"/>
        <v>30TVN35</v>
      </c>
    </row>
    <row r="383" spans="1:4" x14ac:dyDescent="0.3">
      <c r="A383" s="4" t="s">
        <v>1626</v>
      </c>
      <c r="B383" s="44" t="s">
        <v>512</v>
      </c>
      <c r="C383" t="str">
        <f t="shared" si="10"/>
        <v>30TVN3058</v>
      </c>
      <c r="D383" t="str">
        <f t="shared" si="11"/>
        <v>30TVN35</v>
      </c>
    </row>
    <row r="384" spans="1:4" x14ac:dyDescent="0.3">
      <c r="A384" s="11" t="s">
        <v>1626</v>
      </c>
      <c r="B384" s="44" t="s">
        <v>573</v>
      </c>
      <c r="C384" t="str">
        <f t="shared" si="10"/>
        <v>30TVN3353</v>
      </c>
      <c r="D384" t="str">
        <f t="shared" si="11"/>
        <v>30TVN35</v>
      </c>
    </row>
    <row r="385" spans="1:4" x14ac:dyDescent="0.3">
      <c r="A385" s="11" t="s">
        <v>1626</v>
      </c>
      <c r="B385" s="44" t="s">
        <v>51</v>
      </c>
      <c r="C385" t="str">
        <f t="shared" si="10"/>
        <v>30TVN3957</v>
      </c>
      <c r="D385" t="str">
        <f t="shared" si="11"/>
        <v>30TVN35</v>
      </c>
    </row>
    <row r="386" spans="1:4" x14ac:dyDescent="0.3">
      <c r="A386" s="4" t="s">
        <v>1626</v>
      </c>
      <c r="B386" s="44" t="s">
        <v>118</v>
      </c>
      <c r="C386" t="str">
        <f t="shared" si="10"/>
        <v>30TVN3059</v>
      </c>
      <c r="D386" t="str">
        <f t="shared" si="11"/>
        <v>30TVN35</v>
      </c>
    </row>
    <row r="387" spans="1:4" x14ac:dyDescent="0.3">
      <c r="A387" s="11" t="s">
        <v>1545</v>
      </c>
      <c r="B387" s="44" t="s">
        <v>131</v>
      </c>
      <c r="C387" t="str">
        <f t="shared" ref="C387:C411" si="12">_xlfn.CONCAT(MID(B387,1,7),MID(B387,9,2))</f>
        <v>30TVN3560</v>
      </c>
      <c r="D387" t="str">
        <f t="shared" ref="D387:D411" si="13">_xlfn.CONCAT(MID(B387,1,6),MID(B387,9,1))</f>
        <v>30TVN36</v>
      </c>
    </row>
    <row r="388" spans="1:4" x14ac:dyDescent="0.3">
      <c r="A388" s="11" t="s">
        <v>1546</v>
      </c>
      <c r="B388" s="44" t="s">
        <v>35</v>
      </c>
      <c r="C388" t="str">
        <f t="shared" si="12"/>
        <v>30TVN3254</v>
      </c>
      <c r="D388" t="str">
        <f t="shared" si="13"/>
        <v>30TVN35</v>
      </c>
    </row>
    <row r="389" spans="1:4" x14ac:dyDescent="0.3">
      <c r="A389" s="11" t="s">
        <v>1547</v>
      </c>
      <c r="B389" s="44" t="s">
        <v>187</v>
      </c>
      <c r="C389" t="str">
        <f t="shared" si="12"/>
        <v>30TVN3651</v>
      </c>
      <c r="D389" t="str">
        <f t="shared" si="13"/>
        <v>30TVN35</v>
      </c>
    </row>
    <row r="390" spans="1:4" x14ac:dyDescent="0.3">
      <c r="A390" s="4" t="s">
        <v>1547</v>
      </c>
      <c r="B390" s="44" t="s">
        <v>118</v>
      </c>
      <c r="C390" t="str">
        <f t="shared" si="12"/>
        <v>30TVN3059</v>
      </c>
      <c r="D390" t="str">
        <f t="shared" si="13"/>
        <v>30TVN35</v>
      </c>
    </row>
    <row r="391" spans="1:4" x14ac:dyDescent="0.3">
      <c r="A391" s="11" t="s">
        <v>1548</v>
      </c>
      <c r="B391" s="44" t="s">
        <v>187</v>
      </c>
      <c r="C391" t="str">
        <f t="shared" si="12"/>
        <v>30TVN3651</v>
      </c>
      <c r="D391" t="str">
        <f t="shared" si="13"/>
        <v>30TVN35</v>
      </c>
    </row>
    <row r="392" spans="1:4" x14ac:dyDescent="0.3">
      <c r="A392" s="4" t="s">
        <v>1627</v>
      </c>
      <c r="B392" s="44" t="s">
        <v>223</v>
      </c>
      <c r="C392" t="str">
        <f t="shared" si="12"/>
        <v>30TVN2856</v>
      </c>
      <c r="D392" t="str">
        <f t="shared" si="13"/>
        <v>30TVN25</v>
      </c>
    </row>
    <row r="393" spans="1:4" x14ac:dyDescent="0.3">
      <c r="A393" s="11" t="s">
        <v>1550</v>
      </c>
      <c r="B393" s="44" t="s">
        <v>35</v>
      </c>
      <c r="C393" t="str">
        <f t="shared" si="12"/>
        <v>30TVN3254</v>
      </c>
      <c r="D393" t="str">
        <f t="shared" si="13"/>
        <v>30TVN35</v>
      </c>
    </row>
    <row r="394" spans="1:4" x14ac:dyDescent="0.3">
      <c r="A394" s="11" t="s">
        <v>1628</v>
      </c>
      <c r="B394" s="44" t="s">
        <v>63</v>
      </c>
      <c r="C394" t="str">
        <f t="shared" si="12"/>
        <v>30TVN4053</v>
      </c>
      <c r="D394" t="str">
        <f t="shared" si="13"/>
        <v>30TVN45</v>
      </c>
    </row>
    <row r="395" spans="1:4" x14ac:dyDescent="0.3">
      <c r="A395" s="11" t="s">
        <v>1628</v>
      </c>
      <c r="B395" s="44" t="s">
        <v>267</v>
      </c>
      <c r="C395" t="str">
        <f t="shared" si="12"/>
        <v>30TVN3653</v>
      </c>
      <c r="D395" t="str">
        <f t="shared" si="13"/>
        <v>30TVN35</v>
      </c>
    </row>
    <row r="396" spans="1:4" x14ac:dyDescent="0.3">
      <c r="A396" s="4" t="s">
        <v>1552</v>
      </c>
      <c r="B396" s="44" t="s">
        <v>512</v>
      </c>
      <c r="C396" t="str">
        <f t="shared" si="12"/>
        <v>30TVN3058</v>
      </c>
      <c r="D396" t="str">
        <f t="shared" si="13"/>
        <v>30TVN35</v>
      </c>
    </row>
    <row r="397" spans="1:4" x14ac:dyDescent="0.3">
      <c r="A397" s="11" t="s">
        <v>1552</v>
      </c>
      <c r="B397" s="44" t="s">
        <v>68</v>
      </c>
      <c r="C397" t="str">
        <f t="shared" si="12"/>
        <v>30TVN3754</v>
      </c>
      <c r="D397" t="str">
        <f t="shared" si="13"/>
        <v>30TVN35</v>
      </c>
    </row>
    <row r="398" spans="1:4" x14ac:dyDescent="0.3">
      <c r="A398" s="11" t="s">
        <v>1552</v>
      </c>
      <c r="B398" s="44" t="s">
        <v>99</v>
      </c>
      <c r="C398" t="str">
        <f t="shared" si="12"/>
        <v>30TVN3155</v>
      </c>
      <c r="D398" t="str">
        <f t="shared" si="13"/>
        <v>30TVN35</v>
      </c>
    </row>
    <row r="399" spans="1:4" x14ac:dyDescent="0.3">
      <c r="A399" s="11" t="s">
        <v>1552</v>
      </c>
      <c r="B399" s="44" t="s">
        <v>573</v>
      </c>
      <c r="C399" t="str">
        <f t="shared" si="12"/>
        <v>30TVN3353</v>
      </c>
      <c r="D399" t="str">
        <f t="shared" si="13"/>
        <v>30TVN35</v>
      </c>
    </row>
    <row r="400" spans="1:4" x14ac:dyDescent="0.3">
      <c r="A400" s="4" t="s">
        <v>1552</v>
      </c>
      <c r="B400" s="44" t="s">
        <v>21</v>
      </c>
      <c r="C400" t="str">
        <f t="shared" si="12"/>
        <v>30TVN3858</v>
      </c>
      <c r="D400" t="str">
        <f t="shared" si="13"/>
        <v>30TVN35</v>
      </c>
    </row>
    <row r="401" spans="1:4" x14ac:dyDescent="0.3">
      <c r="A401" s="11" t="s">
        <v>1552</v>
      </c>
      <c r="B401" s="44" t="s">
        <v>131</v>
      </c>
      <c r="C401" t="str">
        <f t="shared" si="12"/>
        <v>30TVN3560</v>
      </c>
      <c r="D401" t="str">
        <f t="shared" si="13"/>
        <v>30TVN36</v>
      </c>
    </row>
    <row r="402" spans="1:4" x14ac:dyDescent="0.3">
      <c r="A402" s="11" t="s">
        <v>1552</v>
      </c>
      <c r="B402" s="44" t="s">
        <v>187</v>
      </c>
      <c r="C402" t="str">
        <f t="shared" si="12"/>
        <v>30TVN3651</v>
      </c>
      <c r="D402" t="str">
        <f t="shared" si="13"/>
        <v>30TVN35</v>
      </c>
    </row>
    <row r="403" spans="1:4" x14ac:dyDescent="0.3">
      <c r="A403" s="11" t="s">
        <v>1552</v>
      </c>
      <c r="B403" s="44" t="s">
        <v>345</v>
      </c>
      <c r="C403" t="str">
        <f t="shared" si="12"/>
        <v>30TVN3651</v>
      </c>
      <c r="D403" t="str">
        <f t="shared" si="13"/>
        <v>30TVN35</v>
      </c>
    </row>
    <row r="404" spans="1:4" x14ac:dyDescent="0.3">
      <c r="A404" s="4" t="s">
        <v>1553</v>
      </c>
      <c r="B404" s="44" t="s">
        <v>21</v>
      </c>
      <c r="C404" t="str">
        <f t="shared" si="12"/>
        <v>30TVN3858</v>
      </c>
      <c r="D404" t="str">
        <f t="shared" si="13"/>
        <v>30TVN35</v>
      </c>
    </row>
    <row r="405" spans="1:4" x14ac:dyDescent="0.3">
      <c r="A405" s="11" t="s">
        <v>1553</v>
      </c>
      <c r="B405" s="44" t="s">
        <v>131</v>
      </c>
      <c r="C405" t="str">
        <f t="shared" si="12"/>
        <v>30TVN3560</v>
      </c>
      <c r="D405" t="str">
        <f t="shared" si="13"/>
        <v>30TVN36</v>
      </c>
    </row>
    <row r="406" spans="1:4" x14ac:dyDescent="0.3">
      <c r="A406" s="11" t="s">
        <v>1554</v>
      </c>
      <c r="B406" s="44" t="s">
        <v>345</v>
      </c>
      <c r="C406" t="str">
        <f t="shared" si="12"/>
        <v>30TVN3651</v>
      </c>
      <c r="D406" t="str">
        <f t="shared" si="13"/>
        <v>30TVN35</v>
      </c>
    </row>
    <row r="407" spans="1:4" x14ac:dyDescent="0.3">
      <c r="A407" s="11" t="s">
        <v>1555</v>
      </c>
      <c r="B407" s="44" t="s">
        <v>131</v>
      </c>
      <c r="C407" t="str">
        <f t="shared" si="12"/>
        <v>30TVN3560</v>
      </c>
      <c r="D407" t="str">
        <f t="shared" si="13"/>
        <v>30TVN36</v>
      </c>
    </row>
    <row r="408" spans="1:4" x14ac:dyDescent="0.3">
      <c r="A408" s="11" t="s">
        <v>1556</v>
      </c>
      <c r="B408" s="44" t="s">
        <v>35</v>
      </c>
      <c r="C408" t="str">
        <f t="shared" si="12"/>
        <v>30TVN3254</v>
      </c>
      <c r="D408" t="str">
        <f t="shared" si="13"/>
        <v>30TVN35</v>
      </c>
    </row>
    <row r="409" spans="1:4" x14ac:dyDescent="0.3">
      <c r="A409" s="11" t="s">
        <v>1556</v>
      </c>
      <c r="B409" s="44" t="s">
        <v>99</v>
      </c>
      <c r="C409" t="str">
        <f t="shared" si="12"/>
        <v>30TVN3155</v>
      </c>
      <c r="D409" t="str">
        <f t="shared" si="13"/>
        <v>30TVN35</v>
      </c>
    </row>
    <row r="410" spans="1:4" x14ac:dyDescent="0.3">
      <c r="A410" s="11" t="s">
        <v>1556</v>
      </c>
      <c r="B410" s="44" t="s">
        <v>125</v>
      </c>
      <c r="C410" t="str">
        <f t="shared" si="12"/>
        <v>30TVN3656</v>
      </c>
      <c r="D410" t="str">
        <f t="shared" si="13"/>
        <v>30TVN35</v>
      </c>
    </row>
    <row r="411" spans="1:4" x14ac:dyDescent="0.3">
      <c r="A411" s="11" t="s">
        <v>1629</v>
      </c>
      <c r="B411" s="44" t="s">
        <v>131</v>
      </c>
      <c r="C411" t="str">
        <f t="shared" si="12"/>
        <v>30TVN3560</v>
      </c>
      <c r="D411" t="str">
        <f t="shared" si="13"/>
        <v>30TVN36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Hoja2</vt:lpstr>
      <vt:lpstr>Hoja1</vt:lpstr>
      <vt:lpstr>Usar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dc:creator>
  <cp:lastModifiedBy>Ignacio Ramos Gutierrez</cp:lastModifiedBy>
  <dcterms:created xsi:type="dcterms:W3CDTF">2015-06-05T18:19:34Z</dcterms:created>
  <dcterms:modified xsi:type="dcterms:W3CDTF">2024-01-05T17:38:08Z</dcterms:modified>
</cp:coreProperties>
</file>